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Layer 2 — SME Review" sheetId="2" state="visible" r:id="rId4"/>
    <sheet name="Layer 3 — Business User Pilot" sheetId="3" state="visible" r:id="rId5"/>
    <sheet name="Developer 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<sst xmlns="http://schemas.openxmlformats.org/spreadsheetml/2006/main" count="213" uniqueCount="147">
  <si>
    <t xml:space="preserve">Genie Space Evaluation Scoring Template  —  Instructions</t>
  </si>
  <si>
    <t xml:space="preserve">Purpose</t>
  </si>
  <si>
    <t xml:space="preserve">This workbook contains three scoring sheets: Layer 2 SME Review, Layer 3 Business User Pilot, and a Developer Summary that automatically calculates threshold results. Distribute the correct sheet to each evaluator type.</t>
  </si>
  <si>
    <t xml:space="preserve">Who fills what</t>
  </si>
  <si>
    <t xml:space="preserve">Layer 2 sheet → Domain SMEs (offline, one sheet per reviewer).
Layer 3 sheet → Business user testers (one sheet per tester).
Developer Summary → Developer only — do not distribute to reviewers or testers.</t>
  </si>
  <si>
    <t xml:space="preserve">How to score</t>
  </si>
  <si>
    <t xml:space="preserve">Enter scores in the yellow input cells only. All other cells are calculated automatically. Use the dropdown lists provided — do not type scores directly. The anchor card for each dimension is printed on the scoring sheet. Score each response immediately after reading it — not in batch.</t>
  </si>
  <si>
    <t xml:space="preserve">Risk tier</t>
  </si>
  <si>
    <t xml:space="preserve">Set the risk tier on each sheet (cell C4). The threshold table will update automatically to show the correct thresholds for the selected tier. Risk tier must be set before evaluation begins and cannot be changed after scores are entered.</t>
  </si>
  <si>
    <t xml:space="preserve">Written rationale</t>
  </si>
  <si>
    <t xml:space="preserve">Any score of 1 or 2 on any dimension requires written rationale in the Notes column. The Developer Summary will flag missing rationale. Do not submit incomplete scoring packets.</t>
  </si>
  <si>
    <t xml:space="preserve">Developer Summary</t>
  </si>
  <si>
    <t xml:space="preserve">The Developer Summary sheet pulls scores from all reviewer sheets and calculates per-dimension pass rates and gate results automatically. The developer should not modify reviewer sheets after they are submitted.</t>
  </si>
  <si>
    <t xml:space="preserve">Evidence package</t>
  </si>
  <si>
    <t xml:space="preserve">Save a copy of this workbook as the scored evaluation evidence. File name convention: [SpaceName]_Layer[2or3]_Evaluation_[YYYYMMDD].xlsx</t>
  </si>
  <si>
    <t xml:space="preserve">Layer 2 — SME Structured Review Scoring Sheet</t>
  </si>
  <si>
    <t xml:space="preserve">Reviewer name:</t>
  </si>
  <si>
    <t xml:space="preserve">Role / title:</t>
  </si>
  <si>
    <t xml:space="preserve">Date:</t>
  </si>
  <si>
    <t xml:space="preserve">Space name:</t>
  </si>
  <si>
    <t xml:space="preserve">Evaluation date:</t>
  </si>
  <si>
    <t xml:space="preserve">Risk tier:</t>
  </si>
  <si>
    <t xml:space="preserve">Medium</t>
  </si>
  <si>
    <t xml:space="preserve">MEDIUM RISK THRESHOLDS:  SQL Correctness ≥85% score 4+  |  Result-Set Completeness ≥80% score 4+  |  Data Value Accuracy ≥85% score 4+  |  Policy &amp; Compliance: zero FAILs  |  Written rationale required for any score 1 or 2</t>
  </si>
  <si>
    <t xml:space="preserve">SCORING ANCHOR CARD — Keep visible while scoring. Do not score from memory.</t>
  </si>
  <si>
    <t xml:space="preserve">Score</t>
  </si>
  <si>
    <t xml:space="preserve">SQL Correctness</t>
  </si>
  <si>
    <t xml:space="preserve">Result-Set Completeness</t>
  </si>
  <si>
    <t xml:space="preserve">Data Value Accuracy</t>
  </si>
  <si>
    <t xml:space="preserve">Policy &amp; Compliance</t>
  </si>
  <si>
    <t xml:space="preserve">5</t>
  </si>
  <si>
    <t xml:space="preserve">SQL logically correct in every respect.</t>
  </si>
  <si>
    <t xml:space="preserve">All expected rows present. No omissions.</t>
  </si>
  <si>
    <t xml:space="preserve">All values correct. Matches reference data.</t>
  </si>
  <si>
    <t xml:space="preserve">PASS — response fully respects all policies.</t>
  </si>
  <si>
    <t xml:space="preserve">4</t>
  </si>
  <si>
    <t xml:space="preserve">Logically correct with one minor issue that does not affect the result.</t>
  </si>
  <si>
    <t xml:space="preserve">All key rows present. Minor rows may be missing but conclusion is correct.</t>
  </si>
  <si>
    <t xml:space="preserve">Correct with one minor discrepancy that does not change the conclusion.</t>
  </si>
  <si>
    <t xml:space="preserve">PASS — minor ambiguity, no policy breach.</t>
  </si>
  <si>
    <t xml:space="preserve">3</t>
  </si>
  <si>
    <t xml:space="preserve">Meaningful error (wrong filter, aggregation, join) but main intent recognisable.</t>
  </si>
  <si>
    <t xml:space="preserve">Captures main answer but missing a meaningful subset of rows.</t>
  </si>
  <si>
    <t xml:space="preserve">One or more values noticeably incorrect but directionally useful.</t>
  </si>
  <si>
    <t xml:space="preserve">FLAG — borderline. Reviewer must note concern.</t>
  </si>
  <si>
    <t xml:space="preserve">2</t>
  </si>
  <si>
    <t xml:space="preserve">Addresses related but different question. Fundamental error producing wrong results.</t>
  </si>
  <si>
    <t xml:space="preserve">Substantially incomplete. User acting on it would likely reach wrong conclusion.</t>
  </si>
  <si>
    <t xml:space="preserve">Multiple values wrong. Cannot be used without significant correction.</t>
  </si>
  <si>
    <t xml:space="preserve">FAIL — response breaches a stated policy or data access rule.</t>
  </si>
  <si>
    <t xml:space="preserve">1</t>
  </si>
  <si>
    <t xml:space="preserve">Completely different question, or would produce no/dangerous results.</t>
  </si>
  <si>
    <t xml:space="preserve">Entirely wrong — wrong rows, wrong counts, or empty when data exists.</t>
  </si>
  <si>
    <t xml:space="preserve">Values entirely wrong or absent. Would actively mislead.</t>
  </si>
  <si>
    <t xml:space="preserve">FAIL — serious policy breach or disclosure of restricted information.</t>
  </si>
  <si>
    <t xml:space="preserve">SCORING — Enter scores using the dropdowns. Notes required for any score 1 or 2.</t>
  </si>
  <si>
    <t xml:space="preserve">Q#</t>
  </si>
  <si>
    <t xml:space="preserve">Question asked (paste from benchmark set)</t>
  </si>
  <si>
    <t xml:space="preserve">SQL
Correctness
(1–5)</t>
  </si>
  <si>
    <t xml:space="preserve">Result-Set
Complete-
ness (1–5)</t>
  </si>
  <si>
    <t xml:space="preserve">Data Value
Accuracy
(1–5)</t>
  </si>
  <si>
    <t xml:space="preserve">Policy &amp;
Compliance
(PASS/FAIL)</t>
  </si>
  <si>
    <t xml:space="preserve">Notes  (REQUIRED for any score 1 or 2 on any dimension)</t>
  </si>
  <si>
    <t xml:space="preserve">PASS</t>
  </si>
  <si>
    <t xml:space="preserve">DIMENSION SUMMARY — Calculated automatically</t>
  </si>
  <si>
    <t xml:space="preserve">Dimension</t>
  </si>
  <si>
    <t xml:space="preserve">Count scored</t>
  </si>
  <si>
    <t xml:space="preserve">Count scoring 4+</t>
  </si>
  <si>
    <t xml:space="preserve">% scoring 4+</t>
  </si>
  <si>
    <t xml:space="preserve">Threshold (Medium)</t>
  </si>
  <si>
    <t xml:space="preserve">Result</t>
  </si>
  <si>
    <t xml:space="preserve">≥85% score 4+</t>
  </si>
  <si>
    <t xml:space="preserve">≥80% score 4+</t>
  </si>
  <si>
    <t xml:space="preserve">FAILs counted above</t>
  </si>
  <si>
    <t xml:space="preserve">Zero FAILs</t>
  </si>
  <si>
    <t xml:space="preserve">OVERALL GATE 2 RESULT</t>
  </si>
  <si>
    <t xml:space="preserve">Layer 3 — Business User Pilot Scoring Form</t>
  </si>
  <si>
    <t xml:space="preserve">Tester name:</t>
  </si>
  <si>
    <t xml:space="preserve">Job title / role:</t>
  </si>
  <si>
    <t xml:space="preserve">MEDIUM RISK THRESHOLDS:  Task Completion ≥85% score 4+  |  Result Usefulness ≥80% score 4+  |  Clarity ≥80% score 3+  |  Rate each interaction IMMEDIATELY after receiving the response. Do not score in batch.</t>
  </si>
  <si>
    <t xml:space="preserve">SCORING ANCHOR CARD — Rate each interaction using the definitions below</t>
  </si>
  <si>
    <t xml:space="preserve">Task Completion</t>
  </si>
  <si>
    <t xml:space="preserve">Result Usefulness</t>
  </si>
  <si>
    <t xml:space="preserve">Clarity &amp; Interpretability</t>
  </si>
  <si>
    <t xml:space="preserve">Genie answered my exact question completely. I did not need to rephrase or follow up.</t>
  </si>
  <si>
    <t xml:space="preserve">I would use this result at work as-is, with no changes or additional verification.</t>
  </si>
  <si>
    <t xml:space="preserve">The result was immediately clear. I knew exactly what the numbers or data meant.</t>
  </si>
  <si>
    <t xml:space="preserve">Genie answered the main question. One minor element was missing but the core answer is there.</t>
  </si>
  <si>
    <t xml:space="preserve">I would use this with minor edits or one quick check, but I am confident in the substance.</t>
  </si>
  <si>
    <t xml:space="preserve">The result was mostly clear. I needed to think for a moment but understood it.</t>
  </si>
  <si>
    <t xml:space="preserve">Genie gave me a partial answer. I got useful information but would need to follow up to complete my task.</t>
  </si>
  <si>
    <t xml:space="preserve">I could use this as a starting point but would want to verify it before acting.</t>
  </si>
  <si>
    <t xml:space="preserve">The result was somewhat confusing. I understood parts but not all of it.</t>
  </si>
  <si>
    <t xml:space="preserve">Genie answered a related but different question, or the core answer I needed was absent.</t>
  </si>
  <si>
    <t xml:space="preserve">I would not use this without significant additional work.</t>
  </si>
  <si>
    <t xml:space="preserve">The result was mostly confusing. I struggled to understand what it was showing.</t>
  </si>
  <si>
    <t xml:space="preserve">Genie did not answer my question at all, or returned results that make no sense.</t>
  </si>
  <si>
    <t xml:space="preserve">I would not use this in any form — it would actively mislead me.</t>
  </si>
  <si>
    <t xml:space="preserve">I could not understand the result at all.</t>
  </si>
  <si>
    <t xml:space="preserve">Question asked (from structured task list)</t>
  </si>
  <si>
    <t xml:space="preserve">Task
Completion
(1–5)</t>
  </si>
  <si>
    <t xml:space="preserve">Result
Usefulness
(1–5)</t>
  </si>
  <si>
    <t xml:space="preserve">Clarity &amp;
Interpret-
ability (1–5)</t>
  </si>
  <si>
    <t xml:space="preserve">Notes / tester comments (required for any score 1 or 2 on any dimension)</t>
  </si>
  <si>
    <t xml:space="preserve">Count
scored</t>
  </si>
  <si>
    <t xml:space="preserve">Count meeting
threshold</t>
  </si>
  <si>
    <t xml:space="preserve">% meeting
threshold</t>
  </si>
  <si>
    <t xml:space="preserve">Tester completion rate: enter count of testers who completed all tasks / total testers on the Developer Summary sheet (row 27).</t>
  </si>
  <si>
    <t xml:space="preserve">LAYER 3 TESTER RESULT</t>
  </si>
  <si>
    <t xml:space="preserve">Developer Summary — Aggregate Gate Results  |  Do not distribute to reviewers or testers</t>
  </si>
  <si>
    <t xml:space="preserve">HOW TO USE:  Layer 3 results pull automatically from the Layer 3 sheet. Layer 2 Reviewer 1 results pull automatically from the Layer 2 sheet in this file. Reviewer 2 % must be entered manually from their separate scoring file (amber cells). Tester task completion rate (row 27): enter count of testers who completed all tasks in C27, total tester count in D27. Layer 1 gate (row 14): select from dropdown after reviewing Layer 1 results.</t>
  </si>
  <si>
    <t xml:space="preserve">LAYER 1 — Genie Benchmark Results</t>
  </si>
  <si>
    <t xml:space="preserve">Metric</t>
  </si>
  <si>
    <t xml:space="preserve">Enter value</t>
  </si>
  <si>
    <t xml:space="preserve">Threshold</t>
  </si>
  <si>
    <t xml:space="preserve">Total benchmark questions</t>
  </si>
  <si>
    <t xml:space="preserve">Must be 30+ (Low), 40+ (Med), 50+ (High)</t>
  </si>
  <si>
    <t xml:space="preserve">Good</t>
  </si>
  <si>
    <t xml:space="preserve">Bad</t>
  </si>
  <si>
    <t xml:space="preserve">Manual Review Needed</t>
  </si>
  <si>
    <t xml:space="preserve">Must be 0</t>
  </si>
  <si>
    <t xml:space="preserve">Pass rate %</t>
  </si>
  <si>
    <t xml:space="preserve">Low ≥75%  |  Med ≥85%  |  High ≥90%</t>
  </si>
  <si>
    <t xml:space="preserve">SQL answers for all questions?</t>
  </si>
  <si>
    <t xml:space="preserve">Yes / No</t>
  </si>
  <si>
    <t xml:space="preserve">Must be Yes</t>
  </si>
  <si>
    <t xml:space="preserve">All Bad results diagnosed?</t>
  </si>
  <si>
    <t xml:space="preserve">GATE 1 RESULT — enter manually after reviewing above</t>
  </si>
  <si>
    <t xml:space="preserve">LAYER 2 — SME Review Aggregate Results</t>
  </si>
  <si>
    <t xml:space="preserve">Reviewer 1
% scoring 4+
(auto from L2 sheet)</t>
  </si>
  <si>
    <t xml:space="preserve">Reviewer 2
% scoring 4+
(enter manually
from their file)</t>
  </si>
  <si>
    <t xml:space="preserve">Average
% (auto)</t>
  </si>
  <si>
    <t xml:space="preserve">Gate result (auto)</t>
  </si>
  <si>
    <t xml:space="preserve">Zero FAILs — enter PASS or FAIL</t>
  </si>
  <si>
    <t xml:space="preserve">LAYER 3 — Business User Pilot Aggregate Results</t>
  </si>
  <si>
    <t xml:space="preserve">Total interactions
scored (auto)</t>
  </si>
  <si>
    <t xml:space="preserve">Count meeting
threshold (auto)</t>
  </si>
  <si>
    <t xml:space="preserve">% meeting
threshold (auto)</t>
  </si>
  <si>
    <t xml:space="preserve">Gate result
(auto from L3 sheet)</t>
  </si>
  <si>
    <t xml:space="preserve">Medium: ≥85% score 4+  |  Low: ≥75% score 3+  |  High: ≥90% score 4+</t>
  </si>
  <si>
    <t xml:space="preserve">Medium: ≥80% score 4+  |  Low: ≥70% score 3+  |  High: ≥85% score 4+</t>
  </si>
  <si>
    <t xml:space="preserve">Medium: ≥80% score 3+  |  Low: ≥75% score 3+  |  High: ≥85% score 4+</t>
  </si>
  <si>
    <t xml:space="preserve">Tester task completion rate</t>
  </si>
  <si>
    <t xml:space="preserve">≥85% testers completed all tasks</t>
  </si>
  <si>
    <t xml:space="preserve">OVERALL VALIDATION GATE 3 RESULT</t>
  </si>
  <si>
    <t xml:space="preserve">OVERALL DEPLOYMENT AUTHORISATION</t>
  </si>
  <si>
    <t xml:space="preserve">ALL THREE LAYERS PASSED?  Layer 1 Gate (manual)  +  Gate 2 Result  +  Gate 3 Result</t>
  </si>
</sst>
</file>

<file path=xl/styles.xml><?xml version="1.0" encoding="utf-8"?>
<styleSheet xmlns="http://schemas.openxmlformats.org/spreadsheetml/2006/main">
  <numFmts count="3">
    <numFmt numFmtId="164" formatCode="General"/>
    <numFmt numFmtId="165" formatCode="General"/>
    <numFmt numFmtId="166" formatCode="0.0%"/>
  </numFmts>
  <fonts count="3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00"/>
      <name val="Arial"/>
      <family val="0"/>
      <charset val="1"/>
    </font>
    <font>
      <b val="true"/>
      <sz val="11"/>
      <color rgb="FF1F3864"/>
      <name val="Arial"/>
      <family val="0"/>
      <charset val="1"/>
    </font>
    <font>
      <b val="true"/>
      <sz val="9"/>
      <color rgb="FF1F3864"/>
      <name val="Arial"/>
      <family val="0"/>
      <charset val="1"/>
    </font>
    <font>
      <b val="true"/>
      <sz val="11"/>
      <color rgb="FFFFFFFF"/>
      <name val="Arial"/>
      <family val="0"/>
      <charset val="1"/>
    </font>
    <font>
      <b val="true"/>
      <sz val="9"/>
      <color rgb="FFFFFFFF"/>
      <name val="Arial"/>
      <family val="0"/>
      <charset val="1"/>
    </font>
    <font>
      <b val="true"/>
      <sz val="10"/>
      <color rgb="FF1D6B34"/>
      <name val="Arial"/>
      <family val="0"/>
      <charset val="1"/>
    </font>
    <font>
      <sz val="9"/>
      <color rgb="FF000000"/>
      <name val="Arial"/>
      <family val="0"/>
      <charset val="1"/>
    </font>
    <font>
      <b val="true"/>
      <sz val="10"/>
      <color rgb="FFB7950B"/>
      <name val="Arial"/>
      <family val="0"/>
      <charset val="1"/>
    </font>
    <font>
      <b val="true"/>
      <sz val="10"/>
      <color rgb="FF922B21"/>
      <name val="Arial"/>
      <family val="0"/>
      <charset val="1"/>
    </font>
    <font>
      <b val="true"/>
      <sz val="10"/>
      <color rgb="FFFFFFFF"/>
      <name val="Arial"/>
      <family val="0"/>
      <charset val="1"/>
    </font>
    <font>
      <sz val="10"/>
      <name val="Arial"/>
      <family val="0"/>
      <charset val="1"/>
    </font>
    <font>
      <i val="true"/>
      <sz val="10"/>
      <color rgb="FF000000"/>
      <name val="Arial"/>
      <family val="0"/>
      <charset val="1"/>
    </font>
    <font>
      <b val="true"/>
      <sz val="11"/>
      <color rgb="FF000000"/>
      <name val="Arial"/>
      <family val="0"/>
      <charset val="1"/>
    </font>
    <font>
      <i val="true"/>
      <sz val="9"/>
      <color rgb="FF000000"/>
      <name val="Arial"/>
      <family val="0"/>
      <charset val="1"/>
    </font>
    <font>
      <b val="true"/>
      <sz val="12"/>
      <color rgb="FF1F3864"/>
      <name val="Arial"/>
      <family val="0"/>
      <charset val="1"/>
    </font>
    <font>
      <b val="true"/>
      <sz val="11"/>
      <color rgb="FF1D6B34"/>
      <name val="Arial"/>
      <family val="0"/>
      <charset val="1"/>
    </font>
    <font>
      <b val="true"/>
      <sz val="11"/>
      <color rgb="FFB7950B"/>
      <name val="Arial"/>
      <family val="0"/>
      <charset val="1"/>
    </font>
    <font>
      <b val="true"/>
      <sz val="11"/>
      <color rgb="FF922B21"/>
      <name val="Arial"/>
      <family val="0"/>
      <charset val="1"/>
    </font>
    <font>
      <i val="true"/>
      <sz val="9"/>
      <color rgb="FF444444"/>
      <name val="Arial"/>
      <family val="0"/>
      <charset val="1"/>
    </font>
    <font>
      <i val="true"/>
      <sz val="9"/>
      <color rgb="FF1F3864"/>
      <name val="Arial"/>
      <family val="0"/>
      <charset val="1"/>
    </font>
    <font>
      <b val="true"/>
      <sz val="10"/>
      <color rgb="FF1F3864"/>
      <name val="Arial"/>
      <family val="0"/>
      <charset val="1"/>
    </font>
    <font>
      <b val="true"/>
      <sz val="10"/>
      <name val="Arial"/>
      <family val="0"/>
      <charset val="1"/>
    </font>
    <font>
      <b val="true"/>
      <sz val="11"/>
      <name val="Arial"/>
      <family val="0"/>
      <charset val="1"/>
    </font>
    <font>
      <sz val="10"/>
      <color rgb="FF1F3864"/>
      <name val="Arial"/>
      <family val="0"/>
      <charset val="1"/>
    </font>
    <font>
      <i val="true"/>
      <sz val="8"/>
      <color rgb="FF000000"/>
      <name val="Arial"/>
      <family val="0"/>
      <charset val="1"/>
    </font>
  </fonts>
  <fills count="8">
    <fill>
      <patternFill patternType="none"/>
    </fill>
    <fill>
      <patternFill patternType="gray125"/>
    </fill>
    <fill>
      <patternFill patternType="solid">
        <fgColor rgb="FF1F3864"/>
        <bgColor rgb="FF333399"/>
      </patternFill>
    </fill>
    <fill>
      <patternFill patternType="solid">
        <fgColor rgb="FFEBF3FB"/>
        <bgColor rgb="FFF5F8FC"/>
      </patternFill>
    </fill>
    <fill>
      <patternFill patternType="solid">
        <fgColor rgb="FFFFFFFF"/>
        <bgColor rgb="FFF5F8FC"/>
      </patternFill>
    </fill>
    <fill>
      <patternFill patternType="solid">
        <fgColor rgb="FFFFF2CC"/>
        <bgColor rgb="FFF5F8FC"/>
      </patternFill>
    </fill>
    <fill>
      <patternFill patternType="solid">
        <fgColor rgb="FF2E74B5"/>
        <bgColor rgb="FF0066CC"/>
      </patternFill>
    </fill>
    <fill>
      <patternFill patternType="solid">
        <fgColor rgb="FFF5F8FC"/>
        <bgColor rgb="FFEBF3FB"/>
      </patternFill>
    </fill>
  </fills>
  <borders count="3">
    <border diagonalUp="false" diagonalDown="false">
      <left/>
      <right/>
      <top/>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2"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true" applyProtection="false">
      <alignment horizontal="left" vertical="center" textRotation="0" wrapText="true" indent="0" shrinkToFit="false"/>
      <protection locked="true" hidden="false"/>
    </xf>
    <xf numFmtId="164" fontId="5" fillId="3" borderId="0" xfId="0" applyFont="true" applyBorder="fals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10" fillId="6" borderId="2" xfId="0" applyFont="true" applyBorder="true" applyAlignment="true" applyProtection="false">
      <alignment horizontal="center" vertical="center" textRotation="0" wrapText="true" indent="0" shrinkToFit="false"/>
      <protection locked="true" hidden="false"/>
    </xf>
    <xf numFmtId="164" fontId="11" fillId="3" borderId="2" xfId="0" applyFont="true" applyBorder="true" applyAlignment="true" applyProtection="false">
      <alignment horizontal="center" vertical="center" textRotation="0" wrapText="true" indent="0" shrinkToFit="false"/>
      <protection locked="true" hidden="false"/>
    </xf>
    <xf numFmtId="164" fontId="12" fillId="3" borderId="2" xfId="0" applyFont="true" applyBorder="true" applyAlignment="true" applyProtection="false">
      <alignment horizontal="left" vertical="center" textRotation="0" wrapText="true" indent="0" shrinkToFit="false"/>
      <protection locked="true" hidden="false"/>
    </xf>
    <xf numFmtId="164" fontId="12" fillId="3" borderId="1" xfId="0" applyFont="true" applyBorder="true" applyAlignment="true" applyProtection="false">
      <alignment horizontal="left" vertical="center" textRotation="0" wrapText="tru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3" fillId="3" borderId="2" xfId="0" applyFont="true" applyBorder="true" applyAlignment="true" applyProtection="false">
      <alignment horizontal="center" vertical="center" textRotation="0" wrapText="true" indent="0" shrinkToFit="false"/>
      <protection locked="true" hidden="false"/>
    </xf>
    <xf numFmtId="164" fontId="14" fillId="4" borderId="2" xfId="0" applyFont="true" applyBorder="true" applyAlignment="true" applyProtection="false">
      <alignment horizontal="center" vertical="center" textRotation="0" wrapText="true" indent="0" shrinkToFit="false"/>
      <protection locked="true" hidden="false"/>
    </xf>
    <xf numFmtId="164" fontId="14" fillId="3" borderId="2"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5" fillId="2" borderId="2" xfId="0" applyFont="true" applyBorder="true" applyAlignment="true" applyProtection="false">
      <alignment horizontal="center" vertical="center" textRotation="0" wrapText="true" indent="0" shrinkToFit="false"/>
      <protection locked="true" hidden="false"/>
    </xf>
    <xf numFmtId="164" fontId="6" fillId="7" borderId="2" xfId="0" applyFont="true" applyBorder="true" applyAlignment="true" applyProtection="false">
      <alignment horizontal="center" vertical="center" textRotation="0" wrapText="true" indent="0" shrinkToFit="false"/>
      <protection locked="true" hidden="false"/>
    </xf>
    <xf numFmtId="164" fontId="6" fillId="5" borderId="2" xfId="0" applyFont="true" applyBorder="true" applyAlignment="true" applyProtection="false">
      <alignment horizontal="left" vertical="center" textRotation="0" wrapText="true" indent="0" shrinkToFit="false"/>
      <protection locked="true" hidden="false"/>
    </xf>
    <xf numFmtId="164" fontId="7" fillId="5" borderId="2" xfId="0" applyFont="true" applyBorder="true" applyAlignment="true" applyProtection="false">
      <alignment horizontal="center" vertical="center" textRotation="0" wrapText="true" indent="0" shrinkToFit="false"/>
      <protection locked="true" hidden="false"/>
    </xf>
    <xf numFmtId="164" fontId="11" fillId="5" borderId="2" xfId="0" applyFont="true" applyBorder="true" applyAlignment="true" applyProtection="false">
      <alignment horizontal="center" vertical="center" textRotation="0" wrapText="tru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15" fillId="6" borderId="2"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left" vertical="center" textRotation="0" wrapText="true" indent="0" shrinkToFit="false"/>
      <protection locked="true" hidden="false"/>
    </xf>
    <xf numFmtId="165" fontId="16" fillId="3" borderId="2" xfId="0" applyFont="true" applyBorder="true" applyAlignment="true" applyProtection="false">
      <alignment horizontal="center" vertical="center" textRotation="0" wrapText="true" indent="0" shrinkToFit="false"/>
      <protection locked="true" hidden="false"/>
    </xf>
    <xf numFmtId="166" fontId="7" fillId="3" borderId="2" xfId="0" applyFont="true" applyBorder="true" applyAlignment="true" applyProtection="false">
      <alignment horizontal="center" vertical="center" textRotation="0" wrapText="true" indent="0" shrinkToFit="false"/>
      <protection locked="true" hidden="false"/>
    </xf>
    <xf numFmtId="164" fontId="17" fillId="3" borderId="2" xfId="0" applyFont="true" applyBorder="true" applyAlignment="true" applyProtection="false">
      <alignment horizontal="center" vertical="center" textRotation="0" wrapText="true" indent="0" shrinkToFit="false"/>
      <protection locked="true" hidden="false"/>
    </xf>
    <xf numFmtId="164" fontId="18" fillId="7" borderId="2" xfId="0" applyFont="true" applyBorder="true" applyAlignment="true" applyProtection="false">
      <alignment horizontal="center" vertical="center" textRotation="0" wrapText="true" indent="0" shrinkToFit="false"/>
      <protection locked="true" hidden="false"/>
    </xf>
    <xf numFmtId="164" fontId="5" fillId="4" borderId="2" xfId="0" applyFont="true" applyBorder="true" applyAlignment="true" applyProtection="false">
      <alignment horizontal="left" vertical="center" textRotation="0" wrapText="true" indent="0" shrinkToFit="false"/>
      <protection locked="true" hidden="false"/>
    </xf>
    <xf numFmtId="165" fontId="16" fillId="4" borderId="2" xfId="0" applyFont="true" applyBorder="true" applyAlignment="true" applyProtection="false">
      <alignment horizontal="center" vertical="center" textRotation="0" wrapText="true" indent="0" shrinkToFit="false"/>
      <protection locked="true" hidden="false"/>
    </xf>
    <xf numFmtId="166" fontId="7" fillId="4" borderId="2" xfId="0" applyFont="true" applyBorder="true" applyAlignment="true" applyProtection="false">
      <alignment horizontal="center" vertical="center" textRotation="0" wrapText="true" indent="0" shrinkToFit="false"/>
      <protection locked="true" hidden="false"/>
    </xf>
    <xf numFmtId="164" fontId="17" fillId="4" borderId="2" xfId="0" applyFont="true" applyBorder="true" applyAlignment="true" applyProtection="false">
      <alignment horizontal="center" vertical="center" textRotation="0" wrapText="true" indent="0" shrinkToFit="false"/>
      <protection locked="true" hidden="false"/>
    </xf>
    <xf numFmtId="164" fontId="19" fillId="4" borderId="2" xfId="0" applyFont="true" applyBorder="true" applyAlignment="true" applyProtection="false">
      <alignment horizontal="center" vertical="center" textRotation="0" wrapText="true" indent="0" shrinkToFit="false"/>
      <protection locked="true" hidden="false"/>
    </xf>
    <xf numFmtId="164" fontId="20" fillId="3" borderId="2" xfId="0" applyFont="true" applyBorder="true" applyAlignment="true" applyProtection="false">
      <alignment horizontal="center" vertical="center" textRotation="0" wrapText="true" indent="0" shrinkToFit="false"/>
      <protection locked="true" hidden="false"/>
    </xf>
    <xf numFmtId="164" fontId="21" fillId="3" borderId="2" xfId="0" applyFont="true" applyBorder="true" applyAlignment="true" applyProtection="false">
      <alignment horizontal="center" vertical="center" textRotation="0" wrapText="true" indent="0" shrinkToFit="false"/>
      <protection locked="true" hidden="false"/>
    </xf>
    <xf numFmtId="164" fontId="21" fillId="4" borderId="2" xfId="0" applyFont="true" applyBorder="true" applyAlignment="true" applyProtection="false">
      <alignment horizontal="center" vertical="center" textRotation="0" wrapText="true" indent="0" shrinkToFit="false"/>
      <protection locked="true" hidden="false"/>
    </xf>
    <xf numFmtId="164" fontId="22" fillId="3" borderId="2" xfId="0" applyFont="true" applyBorder="true" applyAlignment="true" applyProtection="false">
      <alignment horizontal="center" vertical="center" textRotation="0" wrapText="true" indent="0" shrinkToFit="false"/>
      <protection locked="true" hidden="false"/>
    </xf>
    <xf numFmtId="164" fontId="23" fillId="4" borderId="2" xfId="0" applyFont="true" applyBorder="true" applyAlignment="true" applyProtection="false">
      <alignment horizontal="center" vertical="center" textRotation="0" wrapText="true" indent="0" shrinkToFit="false"/>
      <protection locked="true" hidden="false"/>
    </xf>
    <xf numFmtId="164" fontId="23" fillId="3" borderId="2"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center" vertical="center" textRotation="0" wrapText="false" indent="0" shrinkToFit="false"/>
      <protection locked="true" hidden="false"/>
    </xf>
    <xf numFmtId="164" fontId="9" fillId="6" borderId="2" xfId="0" applyFont="true" applyBorder="true" applyAlignment="true" applyProtection="false">
      <alignment horizontal="center" vertical="center" textRotation="0" wrapText="false" indent="0" shrinkToFit="false"/>
      <protection locked="true" hidden="false"/>
    </xf>
    <xf numFmtId="166" fontId="15" fillId="6" borderId="2"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24" fillId="3" borderId="2" xfId="0" applyFont="true" applyBorder="true" applyAlignment="true" applyProtection="false">
      <alignment horizontal="left" vertical="center" textRotation="0" wrapText="true" indent="0" shrinkToFit="false"/>
      <protection locked="true" hidden="false"/>
    </xf>
    <xf numFmtId="164" fontId="9" fillId="2" borderId="2" xfId="0" applyFont="true" applyBorder="true" applyAlignment="true" applyProtection="false">
      <alignment horizontal="center" vertical="center" textRotation="0" wrapText="false" indent="0" shrinkToFit="false"/>
      <protection locked="true" hidden="false"/>
    </xf>
    <xf numFmtId="164" fontId="16" fillId="4" borderId="2" xfId="0" applyFont="true" applyBorder="true" applyAlignment="false" applyProtection="false">
      <alignment horizontal="general" vertical="bottom" textRotation="0" wrapText="false" indent="0" shrinkToFit="false"/>
      <protection locked="true" hidden="false"/>
    </xf>
    <xf numFmtId="164" fontId="25" fillId="3" borderId="1" xfId="0" applyFont="true" applyBorder="true" applyAlignment="true" applyProtection="false">
      <alignment horizontal="left" vertical="center" textRotation="0" wrapText="true" indent="0" shrinkToFit="false"/>
      <protection locked="true" hidden="false"/>
    </xf>
    <xf numFmtId="164" fontId="6" fillId="7" borderId="2" xfId="0" applyFont="true" applyBorder="true" applyAlignment="true" applyProtection="false">
      <alignment horizontal="left" vertical="center" textRotation="0" wrapText="true" indent="0" shrinkToFit="false"/>
      <protection locked="true" hidden="false"/>
    </xf>
    <xf numFmtId="164" fontId="5" fillId="7" borderId="2" xfId="0" applyFont="true" applyBorder="true" applyAlignment="true" applyProtection="false">
      <alignment horizontal="left" vertical="center" textRotation="0" wrapText="true" indent="0" shrinkToFit="false"/>
      <protection locked="true" hidden="false"/>
    </xf>
    <xf numFmtId="164" fontId="6" fillId="5" borderId="2" xfId="0" applyFont="true" applyBorder="true" applyAlignment="true" applyProtection="false">
      <alignment horizontal="center" vertical="center" textRotation="0" wrapText="true" indent="0" shrinkToFit="false"/>
      <protection locked="true" hidden="false"/>
    </xf>
    <xf numFmtId="164" fontId="19" fillId="7" borderId="1" xfId="0" applyFont="true" applyBorder="true" applyAlignment="true" applyProtection="false">
      <alignment horizontal="left" vertical="center" textRotation="0" wrapText="true" indent="0" shrinkToFit="false"/>
      <protection locked="true" hidden="false"/>
    </xf>
    <xf numFmtId="164" fontId="19" fillId="4" borderId="1" xfId="0" applyFont="true" applyBorder="true" applyAlignment="true" applyProtection="false">
      <alignment horizontal="left" vertical="center" textRotation="0" wrapText="true" indent="0" shrinkToFit="false"/>
      <protection locked="true" hidden="false"/>
    </xf>
    <xf numFmtId="166" fontId="16" fillId="7" borderId="2"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6" fontId="26" fillId="3" borderId="2" xfId="0" applyFont="true" applyBorder="true" applyAlignment="true" applyProtection="false">
      <alignment horizontal="center" vertical="center" textRotation="0" wrapText="true" indent="0" shrinkToFit="false"/>
      <protection locked="true" hidden="false"/>
    </xf>
    <xf numFmtId="166" fontId="6" fillId="5" borderId="2" xfId="0" applyFont="true" applyBorder="true" applyAlignment="true" applyProtection="false">
      <alignment horizontal="center" vertical="center" textRotation="0" wrapText="true" indent="0" shrinkToFit="false"/>
      <protection locked="true" hidden="false"/>
    </xf>
    <xf numFmtId="166" fontId="27" fillId="7" borderId="2" xfId="0" applyFont="true" applyBorder="true" applyAlignment="true" applyProtection="false">
      <alignment horizontal="center" vertical="center" textRotation="0" wrapText="true" indent="0" shrinkToFit="false"/>
      <protection locked="true" hidden="false"/>
    </xf>
    <xf numFmtId="164" fontId="19" fillId="7" borderId="2" xfId="0" applyFont="true" applyBorder="true" applyAlignment="true" applyProtection="false">
      <alignment horizontal="left" vertical="center" textRotation="0" wrapText="true" indent="0" shrinkToFit="false"/>
      <protection locked="true" hidden="false"/>
    </xf>
    <xf numFmtId="164" fontId="28" fillId="7" borderId="2" xfId="0" applyFont="true" applyBorder="true" applyAlignment="true" applyProtection="false">
      <alignment horizontal="center" vertical="center" textRotation="0" wrapText="true" indent="0" shrinkToFit="false"/>
      <protection locked="true" hidden="false"/>
    </xf>
    <xf numFmtId="166" fontId="27" fillId="4" borderId="2" xfId="0" applyFont="true" applyBorder="true" applyAlignment="true" applyProtection="false">
      <alignment horizontal="center" vertical="center" textRotation="0" wrapText="true" indent="0" shrinkToFit="false"/>
      <protection locked="true" hidden="false"/>
    </xf>
    <xf numFmtId="164" fontId="19" fillId="4" borderId="2" xfId="0" applyFont="true" applyBorder="true" applyAlignment="true" applyProtection="false">
      <alignment horizontal="left" vertical="center" textRotation="0" wrapText="true" indent="0" shrinkToFit="false"/>
      <protection locked="true" hidden="false"/>
    </xf>
    <xf numFmtId="165" fontId="29" fillId="7" borderId="2" xfId="0" applyFont="true" applyBorder="true" applyAlignment="true" applyProtection="false">
      <alignment horizontal="center" vertical="center" textRotation="0" wrapText="true" indent="0" shrinkToFit="false"/>
      <protection locked="true" hidden="false"/>
    </xf>
    <xf numFmtId="164" fontId="30" fillId="7" borderId="2" xfId="0" applyFont="true" applyBorder="true" applyAlignment="true" applyProtection="false">
      <alignment horizontal="left" vertical="center" textRotation="0" wrapText="true" indent="0" shrinkToFit="false"/>
      <protection locked="true" hidden="false"/>
    </xf>
    <xf numFmtId="164" fontId="7" fillId="3" borderId="2" xfId="0" applyFont="true" applyBorder="true" applyAlignment="true" applyProtection="false">
      <alignment horizontal="center" vertical="center" textRotation="0" wrapText="true" indent="0" shrinkToFit="false"/>
      <protection locked="true" hidden="false"/>
    </xf>
    <xf numFmtId="165" fontId="29" fillId="4" borderId="2" xfId="0" applyFont="true" applyBorder="true" applyAlignment="true" applyProtection="false">
      <alignment horizontal="center" vertical="center" textRotation="0" wrapText="true" indent="0" shrinkToFit="false"/>
      <protection locked="true" hidden="false"/>
    </xf>
    <xf numFmtId="164" fontId="30" fillId="4" borderId="2" xfId="0" applyFont="true" applyBorder="true" applyAlignment="true" applyProtection="false">
      <alignment horizontal="left" vertical="center" textRotation="0" wrapText="true" indent="0" shrinkToFit="false"/>
      <protection locked="true" hidden="false"/>
    </xf>
    <xf numFmtId="165" fontId="29" fillId="3" borderId="2" xfId="0" applyFont="true" applyBorder="true" applyAlignment="true" applyProtection="false">
      <alignment horizontal="center" vertical="center" textRotation="0" wrapText="true" indent="0" shrinkToFit="false"/>
      <protection locked="true" hidden="false"/>
    </xf>
    <xf numFmtId="164" fontId="30" fillId="3"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D6B34"/>
      <rgbColor rgb="FF000080"/>
      <rgbColor rgb="FFB7950B"/>
      <rgbColor rgb="FF800080"/>
      <rgbColor rgb="FF008080"/>
      <rgbColor rgb="FFCCCCCC"/>
      <rgbColor rgb="FF808080"/>
      <rgbColor rgb="FF9999FF"/>
      <rgbColor rgb="FF993366"/>
      <rgbColor rgb="FFFFF2CC"/>
      <rgbColor rgb="FFEB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8FC"/>
      <rgbColor rgb="FFCCFFCC"/>
      <rgbColor rgb="FFFFFF99"/>
      <rgbColor rgb="FF99CCFF"/>
      <rgbColor rgb="FFFF99CC"/>
      <rgbColor rgb="FFCC99FF"/>
      <rgbColor rgb="FFFFCC99"/>
      <rgbColor rgb="FF2E74B5"/>
      <rgbColor rgb="FF33CCCC"/>
      <rgbColor rgb="FF99CC00"/>
      <rgbColor rgb="FFFFCC00"/>
      <rgbColor rgb="FFFF9900"/>
      <rgbColor rgb="FFFF6600"/>
      <rgbColor rgb="FF666699"/>
      <rgbColor rgb="FF969696"/>
      <rgbColor rgb="FF1F3864"/>
      <rgbColor rgb="FF339966"/>
      <rgbColor rgb="FF003300"/>
      <rgbColor rgb="FF333300"/>
      <rgbColor rgb="FF922B21"/>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3" min="3" style="1" width="72"/>
  </cols>
  <sheetData>
    <row r="1" customFormat="false" ht="39.75" hidden="false" customHeight="true" outlineLevel="0" collapsed="false">
      <c r="A1" s="2" t="s">
        <v>0</v>
      </c>
      <c r="B1" s="2"/>
      <c r="C1" s="2"/>
    </row>
    <row r="2" customFormat="false" ht="60" hidden="false" customHeight="true" outlineLevel="0" collapsed="false">
      <c r="B2" s="3" t="s">
        <v>1</v>
      </c>
      <c r="C2" s="4" t="s">
        <v>2</v>
      </c>
    </row>
    <row r="3" customFormat="false" ht="60" hidden="false" customHeight="true" outlineLevel="0" collapsed="false">
      <c r="B3" s="3" t="s">
        <v>3</v>
      </c>
      <c r="C3" s="4" t="s">
        <v>4</v>
      </c>
    </row>
    <row r="4" customFormat="false" ht="60" hidden="false" customHeight="true" outlineLevel="0" collapsed="false">
      <c r="B4" s="3" t="s">
        <v>5</v>
      </c>
      <c r="C4" s="4" t="s">
        <v>6</v>
      </c>
    </row>
    <row r="5" customFormat="false" ht="60" hidden="false" customHeight="true" outlineLevel="0" collapsed="false">
      <c r="B5" s="3" t="s">
        <v>7</v>
      </c>
      <c r="C5" s="4" t="s">
        <v>8</v>
      </c>
    </row>
    <row r="6" customFormat="false" ht="60" hidden="false" customHeight="true" outlineLevel="0" collapsed="false">
      <c r="B6" s="3" t="s">
        <v>9</v>
      </c>
      <c r="C6" s="4" t="s">
        <v>10</v>
      </c>
    </row>
    <row r="7" customFormat="false" ht="60" hidden="false" customHeight="true" outlineLevel="0" collapsed="false">
      <c r="B7" s="3" t="s">
        <v>11</v>
      </c>
      <c r="C7" s="4" t="s">
        <v>12</v>
      </c>
    </row>
    <row r="8" customFormat="false" ht="60" hidden="false" customHeight="true" outlineLevel="0" collapsed="false">
      <c r="B8" s="3" t="s">
        <v>13</v>
      </c>
      <c r="C8" s="4" t="s">
        <v>14</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6"/>
    <col collapsed="false" customWidth="true" hidden="false" outlineLevel="0" max="6" min="3" style="1" width="11"/>
    <col collapsed="false" customWidth="true" hidden="false" outlineLevel="0" max="7" min="7" style="1" width="36"/>
  </cols>
  <sheetData>
    <row r="1" customFormat="false" ht="36" hidden="false" customHeight="true" outlineLevel="0" collapsed="false">
      <c r="A1" s="2" t="s">
        <v>15</v>
      </c>
      <c r="B1" s="2"/>
      <c r="C1" s="2"/>
      <c r="D1" s="2"/>
      <c r="E1" s="2"/>
      <c r="F1" s="2"/>
      <c r="G1" s="2"/>
    </row>
    <row r="2" customFormat="false" ht="21.75" hidden="false" customHeight="true" outlineLevel="0" collapsed="false">
      <c r="A2" s="5" t="s">
        <v>16</v>
      </c>
      <c r="B2" s="6"/>
      <c r="C2" s="6"/>
      <c r="D2" s="5" t="s">
        <v>17</v>
      </c>
      <c r="E2" s="6"/>
      <c r="F2" s="6"/>
      <c r="G2" s="5" t="s">
        <v>18</v>
      </c>
    </row>
    <row r="3" customFormat="false" ht="21.75" hidden="false" customHeight="true" outlineLevel="0" collapsed="false">
      <c r="A3" s="5" t="s">
        <v>19</v>
      </c>
      <c r="B3" s="6"/>
      <c r="C3" s="6"/>
      <c r="D3" s="5" t="s">
        <v>20</v>
      </c>
      <c r="E3" s="6"/>
      <c r="F3" s="6"/>
    </row>
    <row r="4" customFormat="false" ht="21.75" hidden="false" customHeight="true" outlineLevel="0" collapsed="false">
      <c r="A4" s="5" t="s">
        <v>21</v>
      </c>
      <c r="B4" s="7" t="s">
        <v>22</v>
      </c>
      <c r="C4" s="7"/>
    </row>
    <row r="5" customFormat="false" ht="36" hidden="false" customHeight="true" outlineLevel="0" collapsed="false">
      <c r="A5" s="8" t="s">
        <v>23</v>
      </c>
      <c r="B5" s="8"/>
      <c r="C5" s="8"/>
      <c r="D5" s="8"/>
      <c r="E5" s="8"/>
      <c r="F5" s="8"/>
      <c r="G5" s="8"/>
    </row>
    <row r="6" customFormat="false" ht="18" hidden="false" customHeight="true" outlineLevel="0" collapsed="false">
      <c r="A6" s="9" t="s">
        <v>24</v>
      </c>
      <c r="B6" s="9"/>
      <c r="C6" s="9"/>
      <c r="D6" s="9"/>
      <c r="E6" s="9"/>
      <c r="F6" s="9"/>
      <c r="G6" s="9"/>
    </row>
    <row r="7" customFormat="false" ht="18" hidden="false" customHeight="true" outlineLevel="0" collapsed="false">
      <c r="A7" s="10" t="s">
        <v>25</v>
      </c>
      <c r="B7" s="10" t="s">
        <v>26</v>
      </c>
      <c r="C7" s="10" t="s">
        <v>27</v>
      </c>
      <c r="D7" s="10" t="s">
        <v>28</v>
      </c>
      <c r="E7" s="10" t="s">
        <v>29</v>
      </c>
      <c r="F7" s="10"/>
      <c r="G7" s="10"/>
    </row>
    <row r="8" customFormat="false" ht="42" hidden="false" customHeight="true" outlineLevel="0" collapsed="false">
      <c r="A8" s="11" t="s">
        <v>30</v>
      </c>
      <c r="B8" s="12" t="s">
        <v>31</v>
      </c>
      <c r="C8" s="12" t="s">
        <v>32</v>
      </c>
      <c r="D8" s="12" t="s">
        <v>33</v>
      </c>
      <c r="E8" s="13" t="s">
        <v>34</v>
      </c>
      <c r="F8" s="13"/>
      <c r="G8" s="13"/>
    </row>
    <row r="9" customFormat="false" ht="42" hidden="false" customHeight="true" outlineLevel="0" collapsed="false">
      <c r="A9" s="14" t="s">
        <v>35</v>
      </c>
      <c r="B9" s="15" t="s">
        <v>36</v>
      </c>
      <c r="C9" s="15" t="s">
        <v>37</v>
      </c>
      <c r="D9" s="15" t="s">
        <v>38</v>
      </c>
      <c r="E9" s="16" t="s">
        <v>39</v>
      </c>
      <c r="F9" s="16"/>
      <c r="G9" s="16"/>
    </row>
    <row r="10" customFormat="false" ht="42" hidden="false" customHeight="true" outlineLevel="0" collapsed="false">
      <c r="A10" s="17" t="s">
        <v>40</v>
      </c>
      <c r="B10" s="12" t="s">
        <v>41</v>
      </c>
      <c r="C10" s="12" t="s">
        <v>42</v>
      </c>
      <c r="D10" s="12" t="s">
        <v>43</v>
      </c>
      <c r="E10" s="13" t="s">
        <v>44</v>
      </c>
      <c r="F10" s="13"/>
      <c r="G10" s="13"/>
    </row>
    <row r="11" customFormat="false" ht="42" hidden="false" customHeight="true" outlineLevel="0" collapsed="false">
      <c r="A11" s="18" t="s">
        <v>45</v>
      </c>
      <c r="B11" s="15" t="s">
        <v>46</v>
      </c>
      <c r="C11" s="15" t="s">
        <v>47</v>
      </c>
      <c r="D11" s="15" t="s">
        <v>48</v>
      </c>
      <c r="E11" s="16" t="s">
        <v>49</v>
      </c>
      <c r="F11" s="16"/>
      <c r="G11" s="16"/>
    </row>
    <row r="12" customFormat="false" ht="42" hidden="false" customHeight="true" outlineLevel="0" collapsed="false">
      <c r="A12" s="19" t="s">
        <v>50</v>
      </c>
      <c r="B12" s="12" t="s">
        <v>51</v>
      </c>
      <c r="C12" s="12" t="s">
        <v>52</v>
      </c>
      <c r="D12" s="12" t="s">
        <v>53</v>
      </c>
      <c r="E12" s="13" t="s">
        <v>54</v>
      </c>
      <c r="F12" s="13"/>
      <c r="G12" s="13"/>
    </row>
    <row r="13" customFormat="false" ht="18" hidden="false" customHeight="true" outlineLevel="0" collapsed="false">
      <c r="A13" s="20" t="s">
        <v>55</v>
      </c>
      <c r="B13" s="20"/>
      <c r="C13" s="20"/>
      <c r="D13" s="20"/>
      <c r="E13" s="20"/>
      <c r="F13" s="20"/>
      <c r="G13" s="20"/>
    </row>
    <row r="14" customFormat="false" ht="42" hidden="false" customHeight="true" outlineLevel="0" collapsed="false">
      <c r="A14" s="21" t="s">
        <v>56</v>
      </c>
      <c r="B14" s="21" t="s">
        <v>57</v>
      </c>
      <c r="C14" s="21" t="s">
        <v>58</v>
      </c>
      <c r="D14" s="21" t="s">
        <v>59</v>
      </c>
      <c r="E14" s="21" t="s">
        <v>60</v>
      </c>
      <c r="F14" s="21" t="s">
        <v>61</v>
      </c>
      <c r="G14" s="21" t="s">
        <v>62</v>
      </c>
    </row>
    <row r="15" customFormat="false" ht="31.5" hidden="false" customHeight="true" outlineLevel="0" collapsed="false">
      <c r="A15" s="22" t="n">
        <v>1</v>
      </c>
      <c r="B15" s="23"/>
      <c r="C15" s="24"/>
      <c r="D15" s="24"/>
      <c r="E15" s="24"/>
      <c r="F15" s="25" t="s">
        <v>63</v>
      </c>
      <c r="G15" s="23"/>
    </row>
    <row r="16" customFormat="false" ht="31.5" hidden="false" customHeight="true" outlineLevel="0" collapsed="false">
      <c r="A16" s="26" t="n">
        <v>2</v>
      </c>
      <c r="B16" s="23"/>
      <c r="C16" s="24"/>
      <c r="D16" s="24"/>
      <c r="E16" s="24"/>
      <c r="F16" s="25" t="s">
        <v>63</v>
      </c>
      <c r="G16" s="23"/>
    </row>
    <row r="17" customFormat="false" ht="31.5" hidden="false" customHeight="true" outlineLevel="0" collapsed="false">
      <c r="A17" s="22" t="n">
        <v>3</v>
      </c>
      <c r="B17" s="23"/>
      <c r="C17" s="24"/>
      <c r="D17" s="24"/>
      <c r="E17" s="24"/>
      <c r="F17" s="25" t="s">
        <v>63</v>
      </c>
      <c r="G17" s="23"/>
    </row>
    <row r="18" customFormat="false" ht="31.5" hidden="false" customHeight="true" outlineLevel="0" collapsed="false">
      <c r="A18" s="26" t="n">
        <v>4</v>
      </c>
      <c r="B18" s="23"/>
      <c r="C18" s="24"/>
      <c r="D18" s="24"/>
      <c r="E18" s="24"/>
      <c r="F18" s="25" t="s">
        <v>63</v>
      </c>
      <c r="G18" s="23"/>
    </row>
    <row r="19" customFormat="false" ht="31.5" hidden="false" customHeight="true" outlineLevel="0" collapsed="false">
      <c r="A19" s="22" t="n">
        <v>5</v>
      </c>
      <c r="B19" s="23"/>
      <c r="C19" s="24"/>
      <c r="D19" s="24"/>
      <c r="E19" s="24"/>
      <c r="F19" s="25" t="s">
        <v>63</v>
      </c>
      <c r="G19" s="23"/>
    </row>
    <row r="20" customFormat="false" ht="31.5" hidden="false" customHeight="true" outlineLevel="0" collapsed="false">
      <c r="A20" s="26" t="n">
        <v>6</v>
      </c>
      <c r="B20" s="23"/>
      <c r="C20" s="24"/>
      <c r="D20" s="24"/>
      <c r="E20" s="24"/>
      <c r="F20" s="25" t="s">
        <v>63</v>
      </c>
      <c r="G20" s="23"/>
    </row>
    <row r="21" customFormat="false" ht="31.5" hidden="false" customHeight="true" outlineLevel="0" collapsed="false">
      <c r="A21" s="22" t="n">
        <v>7</v>
      </c>
      <c r="B21" s="23"/>
      <c r="C21" s="24"/>
      <c r="D21" s="24"/>
      <c r="E21" s="24"/>
      <c r="F21" s="25" t="s">
        <v>63</v>
      </c>
      <c r="G21" s="23"/>
    </row>
    <row r="22" customFormat="false" ht="31.5" hidden="false" customHeight="true" outlineLevel="0" collapsed="false">
      <c r="A22" s="26" t="n">
        <v>8</v>
      </c>
      <c r="B22" s="23"/>
      <c r="C22" s="24"/>
      <c r="D22" s="24"/>
      <c r="E22" s="24"/>
      <c r="F22" s="25" t="s">
        <v>63</v>
      </c>
      <c r="G22" s="23"/>
    </row>
    <row r="23" customFormat="false" ht="31.5" hidden="false" customHeight="true" outlineLevel="0" collapsed="false">
      <c r="A23" s="22" t="n">
        <v>9</v>
      </c>
      <c r="B23" s="23"/>
      <c r="C23" s="24"/>
      <c r="D23" s="24"/>
      <c r="E23" s="24"/>
      <c r="F23" s="25" t="s">
        <v>63</v>
      </c>
      <c r="G23" s="23"/>
    </row>
    <row r="24" customFormat="false" ht="31.5" hidden="false" customHeight="true" outlineLevel="0" collapsed="false">
      <c r="A24" s="26" t="n">
        <v>10</v>
      </c>
      <c r="B24" s="23"/>
      <c r="C24" s="24"/>
      <c r="D24" s="24"/>
      <c r="E24" s="24"/>
      <c r="F24" s="25" t="s">
        <v>63</v>
      </c>
      <c r="G24" s="23"/>
    </row>
    <row r="25" customFormat="false" ht="31.5" hidden="false" customHeight="true" outlineLevel="0" collapsed="false">
      <c r="A25" s="22" t="n">
        <v>11</v>
      </c>
      <c r="B25" s="23"/>
      <c r="C25" s="24"/>
      <c r="D25" s="24"/>
      <c r="E25" s="24"/>
      <c r="F25" s="25" t="s">
        <v>63</v>
      </c>
      <c r="G25" s="23"/>
    </row>
    <row r="26" customFormat="false" ht="31.5" hidden="false" customHeight="true" outlineLevel="0" collapsed="false">
      <c r="A26" s="26" t="n">
        <v>12</v>
      </c>
      <c r="B26" s="23"/>
      <c r="C26" s="24"/>
      <c r="D26" s="24"/>
      <c r="E26" s="24"/>
      <c r="F26" s="25" t="s">
        <v>63</v>
      </c>
      <c r="G26" s="23"/>
    </row>
    <row r="27" customFormat="false" ht="31.5" hidden="false" customHeight="true" outlineLevel="0" collapsed="false">
      <c r="A27" s="22" t="n">
        <v>13</v>
      </c>
      <c r="B27" s="23"/>
      <c r="C27" s="24"/>
      <c r="D27" s="24"/>
      <c r="E27" s="24"/>
      <c r="F27" s="25" t="s">
        <v>63</v>
      </c>
      <c r="G27" s="23"/>
    </row>
    <row r="28" customFormat="false" ht="31.5" hidden="false" customHeight="true" outlineLevel="0" collapsed="false">
      <c r="A28" s="26" t="n">
        <v>14</v>
      </c>
      <c r="B28" s="23"/>
      <c r="C28" s="24"/>
      <c r="D28" s="24"/>
      <c r="E28" s="24"/>
      <c r="F28" s="25" t="s">
        <v>63</v>
      </c>
      <c r="G28" s="23"/>
    </row>
    <row r="29" customFormat="false" ht="31.5" hidden="false" customHeight="true" outlineLevel="0" collapsed="false">
      <c r="A29" s="22" t="n">
        <v>15</v>
      </c>
      <c r="B29" s="23"/>
      <c r="C29" s="24"/>
      <c r="D29" s="24"/>
      <c r="E29" s="24"/>
      <c r="F29" s="25" t="s">
        <v>63</v>
      </c>
      <c r="G29" s="23"/>
    </row>
    <row r="30" customFormat="false" ht="31.5" hidden="false" customHeight="true" outlineLevel="0" collapsed="false">
      <c r="A30" s="26" t="n">
        <v>16</v>
      </c>
      <c r="B30" s="23"/>
      <c r="C30" s="24"/>
      <c r="D30" s="24"/>
      <c r="E30" s="24"/>
      <c r="F30" s="25" t="s">
        <v>63</v>
      </c>
      <c r="G30" s="23"/>
    </row>
    <row r="31" customFormat="false" ht="31.5" hidden="false" customHeight="true" outlineLevel="0" collapsed="false">
      <c r="A31" s="22" t="n">
        <v>17</v>
      </c>
      <c r="B31" s="23"/>
      <c r="C31" s="24"/>
      <c r="D31" s="24"/>
      <c r="E31" s="24"/>
      <c r="F31" s="25" t="s">
        <v>63</v>
      </c>
      <c r="G31" s="23"/>
    </row>
    <row r="32" customFormat="false" ht="31.5" hidden="false" customHeight="true" outlineLevel="0" collapsed="false">
      <c r="A32" s="26" t="n">
        <v>18</v>
      </c>
      <c r="B32" s="23"/>
      <c r="C32" s="24"/>
      <c r="D32" s="24"/>
      <c r="E32" s="24"/>
      <c r="F32" s="25" t="s">
        <v>63</v>
      </c>
      <c r="G32" s="23"/>
    </row>
    <row r="33" customFormat="false" ht="31.5" hidden="false" customHeight="true" outlineLevel="0" collapsed="false">
      <c r="A33" s="22" t="n">
        <v>19</v>
      </c>
      <c r="B33" s="23"/>
      <c r="C33" s="24"/>
      <c r="D33" s="24"/>
      <c r="E33" s="24"/>
      <c r="F33" s="25" t="s">
        <v>63</v>
      </c>
      <c r="G33" s="23"/>
    </row>
    <row r="34" customFormat="false" ht="31.5" hidden="false" customHeight="true" outlineLevel="0" collapsed="false">
      <c r="A34" s="26" t="n">
        <v>20</v>
      </c>
      <c r="B34" s="23"/>
      <c r="C34" s="24"/>
      <c r="D34" s="24"/>
      <c r="E34" s="24"/>
      <c r="F34" s="25" t="s">
        <v>63</v>
      </c>
      <c r="G34" s="23"/>
    </row>
    <row r="35" customFormat="false" ht="31.5" hidden="false" customHeight="true" outlineLevel="0" collapsed="false">
      <c r="A35" s="22" t="n">
        <v>21</v>
      </c>
      <c r="B35" s="23"/>
      <c r="C35" s="24"/>
      <c r="D35" s="24"/>
      <c r="E35" s="24"/>
      <c r="F35" s="25" t="s">
        <v>63</v>
      </c>
      <c r="G35" s="23"/>
    </row>
    <row r="36" customFormat="false" ht="31.5" hidden="false" customHeight="true" outlineLevel="0" collapsed="false">
      <c r="A36" s="26" t="n">
        <v>22</v>
      </c>
      <c r="B36" s="23"/>
      <c r="C36" s="24"/>
      <c r="D36" s="24"/>
      <c r="E36" s="24"/>
      <c r="F36" s="25" t="s">
        <v>63</v>
      </c>
      <c r="G36" s="23"/>
    </row>
    <row r="37" customFormat="false" ht="31.5" hidden="false" customHeight="true" outlineLevel="0" collapsed="false">
      <c r="A37" s="22" t="n">
        <v>23</v>
      </c>
      <c r="B37" s="23"/>
      <c r="C37" s="24"/>
      <c r="D37" s="24"/>
      <c r="E37" s="24"/>
      <c r="F37" s="25" t="s">
        <v>63</v>
      </c>
      <c r="G37" s="23"/>
    </row>
    <row r="38" customFormat="false" ht="31.5" hidden="false" customHeight="true" outlineLevel="0" collapsed="false">
      <c r="A38" s="26" t="n">
        <v>24</v>
      </c>
      <c r="B38" s="23"/>
      <c r="C38" s="24"/>
      <c r="D38" s="24"/>
      <c r="E38" s="24"/>
      <c r="F38" s="25" t="s">
        <v>63</v>
      </c>
      <c r="G38" s="23"/>
    </row>
    <row r="39" customFormat="false" ht="31.5" hidden="false" customHeight="true" outlineLevel="0" collapsed="false">
      <c r="A39" s="22" t="n">
        <v>25</v>
      </c>
      <c r="B39" s="23"/>
      <c r="C39" s="24"/>
      <c r="D39" s="24"/>
      <c r="E39" s="24"/>
      <c r="F39" s="25" t="s">
        <v>63</v>
      </c>
      <c r="G39" s="23"/>
    </row>
    <row r="40" customFormat="false" ht="19.5" hidden="false" customHeight="true" outlineLevel="0" collapsed="false">
      <c r="A40" s="9" t="s">
        <v>64</v>
      </c>
      <c r="B40" s="9"/>
      <c r="C40" s="9"/>
      <c r="D40" s="9"/>
      <c r="E40" s="9"/>
      <c r="F40" s="9"/>
      <c r="G40" s="9"/>
    </row>
    <row r="41" customFormat="false" ht="31.5" hidden="false" customHeight="true" outlineLevel="0" collapsed="false">
      <c r="A41" s="27"/>
      <c r="B41" s="27" t="s">
        <v>65</v>
      </c>
      <c r="C41" s="27" t="s">
        <v>66</v>
      </c>
      <c r="D41" s="27" t="s">
        <v>67</v>
      </c>
      <c r="E41" s="27" t="s">
        <v>68</v>
      </c>
      <c r="F41" s="27" t="s">
        <v>69</v>
      </c>
      <c r="G41" s="27" t="s">
        <v>70</v>
      </c>
    </row>
    <row r="42" customFormat="false" ht="27.75" hidden="false" customHeight="true" outlineLevel="0" collapsed="false">
      <c r="A42" s="28"/>
      <c r="B42" s="3" t="s">
        <v>26</v>
      </c>
      <c r="C42" s="29" t="n">
        <f aca="false">SUMPRODUCT((C15:C39="1")+(C15:C39="2")+(C15:C39="3")+(C15:C39="4")+(C15:C39="5"))</f>
        <v>0</v>
      </c>
      <c r="D42" s="29" t="n">
        <f aca="false">SUMPRODUCT((C15:C39="4")+(C15:C39="5"))</f>
        <v>0</v>
      </c>
      <c r="E42" s="30" t="str">
        <f aca="false">IFERROR(D42/C42,"")</f>
        <v/>
      </c>
      <c r="F42" s="31" t="s">
        <v>71</v>
      </c>
      <c r="G42" s="32" t="str">
        <f aca="false">IF(C42=0,"No scores yet",IF(E42&gt;=0.85,"PASS","FAIL"))</f>
        <v>No scores yet</v>
      </c>
    </row>
    <row r="43" customFormat="false" ht="27.75" hidden="false" customHeight="true" outlineLevel="0" collapsed="false">
      <c r="A43" s="4"/>
      <c r="B43" s="33" t="s">
        <v>27</v>
      </c>
      <c r="C43" s="34" t="n">
        <f aca="false">SUMPRODUCT((D15:D39="1")+(D15:D39="2")+(D15:D39="3")+(D15:D39="4")+(D15:D39="5"))</f>
        <v>0</v>
      </c>
      <c r="D43" s="34" t="n">
        <f aca="false">SUMPRODUCT((D15:D39="4")+(D15:D39="5"))</f>
        <v>0</v>
      </c>
      <c r="E43" s="35" t="str">
        <f aca="false">IFERROR(D43/C43,"")</f>
        <v/>
      </c>
      <c r="F43" s="36" t="s">
        <v>72</v>
      </c>
      <c r="G43" s="32" t="str">
        <f aca="false">IF(C43=0,"No scores yet",IF(E43&gt;=0.8,"PASS","FAIL"))</f>
        <v>No scores yet</v>
      </c>
    </row>
    <row r="44" customFormat="false" ht="27.75" hidden="false" customHeight="true" outlineLevel="0" collapsed="false">
      <c r="A44" s="28"/>
      <c r="B44" s="3" t="s">
        <v>28</v>
      </c>
      <c r="C44" s="29" t="n">
        <f aca="false">SUMPRODUCT((E15:E39="1")+(E15:E39="2")+(E15:E39="3")+(E15:E39="4")+(E15:E39="5"))</f>
        <v>0</v>
      </c>
      <c r="D44" s="29" t="n">
        <f aca="false">SUMPRODUCT((E15:E39="4")+(E15:E39="5"))</f>
        <v>0</v>
      </c>
      <c r="E44" s="30" t="str">
        <f aca="false">IFERROR(D44/C44,"")</f>
        <v/>
      </c>
      <c r="F44" s="31" t="s">
        <v>71</v>
      </c>
      <c r="G44" s="32" t="str">
        <f aca="false">IF(C44=0,"No scores yet",IF(E44&gt;=0.85,"PASS","FAIL"))</f>
        <v>No scores yet</v>
      </c>
    </row>
    <row r="45" customFormat="false" ht="27.75" hidden="false" customHeight="true" outlineLevel="0" collapsed="false">
      <c r="A45" s="4"/>
      <c r="B45" s="33" t="s">
        <v>29</v>
      </c>
      <c r="C45" s="34" t="n">
        <f aca="false">SUMPRODUCT((F15:F39="PASS")+(F15:F39="FAIL"))</f>
        <v>25</v>
      </c>
      <c r="D45" s="34" t="n">
        <f aca="false">COUNTIF(F15:F39,"FAIL")</f>
        <v>0</v>
      </c>
      <c r="E45" s="37" t="s">
        <v>73</v>
      </c>
      <c r="F45" s="36" t="s">
        <v>74</v>
      </c>
      <c r="G45" s="32" t="str">
        <f aca="false">IF(C45=0,"No scores yet",IF(D45=0,"PASS","FAIL — disqualified"))</f>
        <v>PASS</v>
      </c>
    </row>
    <row r="46" customFormat="false" ht="27.75" hidden="false" customHeight="true" outlineLevel="0" collapsed="false">
      <c r="A46" s="20" t="s">
        <v>75</v>
      </c>
      <c r="B46" s="20"/>
      <c r="C46" s="20"/>
      <c r="D46" s="20"/>
      <c r="E46" s="20"/>
      <c r="F46" s="20"/>
      <c r="G46" s="38" t="str">
        <f aca="false">IF(OR(C42=0,C43=0,C44=0,C45=0),"Incomplete — enter all scores",IF(AND(G42="PASS",G43="PASS",G44="PASS",G45="PASS"),"GATE 2: PASS — proceed to Layer 3","GATE 2: FAIL — do not proceed to Layer 3"))</f>
        <v>Incomplete — enter all scores</v>
      </c>
    </row>
  </sheetData>
  <mergeCells count="16">
    <mergeCell ref="A1:G1"/>
    <mergeCell ref="B2:C2"/>
    <mergeCell ref="E2:F2"/>
    <mergeCell ref="B3:C3"/>
    <mergeCell ref="E3:F3"/>
    <mergeCell ref="B4:C4"/>
    <mergeCell ref="A5:G5"/>
    <mergeCell ref="A6:G6"/>
    <mergeCell ref="E8:G8"/>
    <mergeCell ref="E9:G9"/>
    <mergeCell ref="E10:G10"/>
    <mergeCell ref="E11:G11"/>
    <mergeCell ref="E12:G12"/>
    <mergeCell ref="A13:G13"/>
    <mergeCell ref="A40:G40"/>
    <mergeCell ref="A46:F46"/>
  </mergeCells>
  <dataValidations count="3">
    <dataValidation allowBlank="false" errorStyle="stop" operator="between" showDropDown="false" showErrorMessage="false" showInputMessage="false" sqref="B4" type="list">
      <formula1>"Low,Medium,High"</formula1>
      <formula2>0</formula2>
    </dataValidation>
    <dataValidation allowBlank="true" errorStyle="stop" operator="between" showDropDown="false" showErrorMessage="false" showInputMessage="false" sqref="C15:E39" type="list">
      <formula1>"1,2,3,4,5"</formula1>
      <formula2>0</formula2>
    </dataValidation>
    <dataValidation allowBlank="true" errorStyle="stop" operator="between" showDropDown="false" showErrorMessage="false" showInputMessage="false" sqref="F15:F39" type="list">
      <formula1>"PASS,FAIL"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6"/>
    <col collapsed="false" customWidth="true" hidden="false" outlineLevel="0" max="5" min="3" style="1" width="13"/>
    <col collapsed="false" customWidth="true" hidden="false" outlineLevel="0" max="6" min="6" style="1" width="36"/>
  </cols>
  <sheetData>
    <row r="1" customFormat="false" ht="36" hidden="false" customHeight="true" outlineLevel="0" collapsed="false">
      <c r="A1" s="2" t="s">
        <v>76</v>
      </c>
      <c r="B1" s="2"/>
      <c r="C1" s="2"/>
      <c r="D1" s="2"/>
      <c r="E1" s="2"/>
      <c r="F1" s="2"/>
    </row>
    <row r="2" customFormat="false" ht="21.75" hidden="false" customHeight="true" outlineLevel="0" collapsed="false">
      <c r="A2" s="5" t="s">
        <v>77</v>
      </c>
      <c r="B2" s="6"/>
      <c r="C2" s="6"/>
      <c r="D2" s="5" t="s">
        <v>78</v>
      </c>
      <c r="E2" s="6"/>
      <c r="F2" s="6"/>
    </row>
    <row r="3" customFormat="false" ht="21.75" hidden="false" customHeight="true" outlineLevel="0" collapsed="false">
      <c r="A3" s="5" t="s">
        <v>19</v>
      </c>
      <c r="B3" s="6"/>
      <c r="C3" s="6"/>
      <c r="D3" s="5" t="s">
        <v>20</v>
      </c>
      <c r="E3" s="6"/>
      <c r="F3" s="6"/>
    </row>
    <row r="4" customFormat="false" ht="21.75" hidden="false" customHeight="true" outlineLevel="0" collapsed="false">
      <c r="A4" s="5" t="s">
        <v>21</v>
      </c>
      <c r="B4" s="7" t="s">
        <v>22</v>
      </c>
      <c r="C4" s="7"/>
    </row>
    <row r="5" customFormat="false" ht="36" hidden="false" customHeight="true" outlineLevel="0" collapsed="false">
      <c r="A5" s="8" t="s">
        <v>79</v>
      </c>
      <c r="B5" s="8"/>
      <c r="C5" s="8"/>
      <c r="D5" s="8"/>
      <c r="E5" s="8"/>
      <c r="F5" s="8"/>
    </row>
    <row r="6" customFormat="false" ht="18" hidden="false" customHeight="true" outlineLevel="0" collapsed="false">
      <c r="A6" s="9" t="s">
        <v>80</v>
      </c>
      <c r="B6" s="9"/>
      <c r="C6" s="9"/>
      <c r="D6" s="9"/>
      <c r="E6" s="9"/>
      <c r="F6" s="9"/>
    </row>
    <row r="7" customFormat="false" ht="18" hidden="false" customHeight="true" outlineLevel="0" collapsed="false">
      <c r="A7" s="10" t="s">
        <v>25</v>
      </c>
      <c r="B7" s="10" t="s">
        <v>81</v>
      </c>
      <c r="C7" s="10" t="s">
        <v>82</v>
      </c>
      <c r="D7" s="10" t="s">
        <v>83</v>
      </c>
      <c r="E7" s="10"/>
      <c r="F7" s="10"/>
    </row>
    <row r="8" customFormat="false" ht="39.75" hidden="false" customHeight="true" outlineLevel="0" collapsed="false">
      <c r="A8" s="39" t="s">
        <v>30</v>
      </c>
      <c r="B8" s="12" t="s">
        <v>84</v>
      </c>
      <c r="C8" s="12" t="s">
        <v>85</v>
      </c>
      <c r="D8" s="13" t="s">
        <v>86</v>
      </c>
      <c r="E8" s="13"/>
      <c r="F8" s="13"/>
    </row>
    <row r="9" customFormat="false" ht="39.75" hidden="false" customHeight="true" outlineLevel="0" collapsed="false">
      <c r="A9" s="40" t="s">
        <v>35</v>
      </c>
      <c r="B9" s="15" t="s">
        <v>87</v>
      </c>
      <c r="C9" s="15" t="s">
        <v>88</v>
      </c>
      <c r="D9" s="16" t="s">
        <v>89</v>
      </c>
      <c r="E9" s="16"/>
      <c r="F9" s="16"/>
    </row>
    <row r="10" customFormat="false" ht="39.75" hidden="false" customHeight="true" outlineLevel="0" collapsed="false">
      <c r="A10" s="41" t="s">
        <v>40</v>
      </c>
      <c r="B10" s="12" t="s">
        <v>90</v>
      </c>
      <c r="C10" s="12" t="s">
        <v>91</v>
      </c>
      <c r="D10" s="13" t="s">
        <v>92</v>
      </c>
      <c r="E10" s="13"/>
      <c r="F10" s="13"/>
    </row>
    <row r="11" customFormat="false" ht="39.75" hidden="false" customHeight="true" outlineLevel="0" collapsed="false">
      <c r="A11" s="42" t="s">
        <v>45</v>
      </c>
      <c r="B11" s="15" t="s">
        <v>93</v>
      </c>
      <c r="C11" s="15" t="s">
        <v>94</v>
      </c>
      <c r="D11" s="16" t="s">
        <v>95</v>
      </c>
      <c r="E11" s="16"/>
      <c r="F11" s="16"/>
    </row>
    <row r="12" customFormat="false" ht="39.75" hidden="false" customHeight="true" outlineLevel="0" collapsed="false">
      <c r="A12" s="43" t="s">
        <v>50</v>
      </c>
      <c r="B12" s="12" t="s">
        <v>96</v>
      </c>
      <c r="C12" s="12" t="s">
        <v>97</v>
      </c>
      <c r="D12" s="12" t="s">
        <v>98</v>
      </c>
      <c r="E12" s="12"/>
      <c r="F12" s="12"/>
    </row>
    <row r="13" customFormat="false" ht="31.5" hidden="false" customHeight="true" outlineLevel="0" collapsed="false">
      <c r="A13" s="22" t="n">
        <v>1</v>
      </c>
      <c r="B13" s="23"/>
      <c r="C13" s="24"/>
      <c r="D13" s="24"/>
      <c r="E13" s="24"/>
      <c r="F13" s="23"/>
    </row>
    <row r="14" customFormat="false" ht="42" hidden="false" customHeight="true" outlineLevel="0" collapsed="false">
      <c r="A14" s="21" t="s">
        <v>56</v>
      </c>
      <c r="B14" s="21" t="s">
        <v>99</v>
      </c>
      <c r="C14" s="21" t="s">
        <v>100</v>
      </c>
      <c r="D14" s="21" t="s">
        <v>101</v>
      </c>
      <c r="E14" s="21" t="s">
        <v>102</v>
      </c>
      <c r="F14" s="21" t="s">
        <v>103</v>
      </c>
    </row>
    <row r="15" customFormat="false" ht="31.5" hidden="false" customHeight="true" outlineLevel="0" collapsed="false">
      <c r="A15" s="22" t="n">
        <v>3</v>
      </c>
      <c r="B15" s="23"/>
      <c r="C15" s="44"/>
      <c r="D15" s="44"/>
      <c r="E15" s="24"/>
      <c r="F15" s="23"/>
    </row>
    <row r="16" customFormat="false" ht="31.5" hidden="false" customHeight="true" outlineLevel="0" collapsed="false">
      <c r="A16" s="26" t="n">
        <v>4</v>
      </c>
      <c r="B16" s="23"/>
      <c r="C16" s="44"/>
      <c r="D16" s="44"/>
      <c r="E16" s="24"/>
      <c r="F16" s="23"/>
    </row>
    <row r="17" customFormat="false" ht="31.5" hidden="false" customHeight="true" outlineLevel="0" collapsed="false">
      <c r="A17" s="22" t="n">
        <v>5</v>
      </c>
      <c r="B17" s="23"/>
      <c r="C17" s="44"/>
      <c r="D17" s="44"/>
      <c r="E17" s="24"/>
      <c r="F17" s="23"/>
    </row>
    <row r="18" customFormat="false" ht="31.5" hidden="false" customHeight="true" outlineLevel="0" collapsed="false">
      <c r="A18" s="26" t="n">
        <v>6</v>
      </c>
      <c r="B18" s="23"/>
      <c r="C18" s="44"/>
      <c r="D18" s="44"/>
      <c r="E18" s="24"/>
      <c r="F18" s="23"/>
    </row>
    <row r="19" customFormat="false" ht="31.5" hidden="false" customHeight="true" outlineLevel="0" collapsed="false">
      <c r="A19" s="22" t="n">
        <v>7</v>
      </c>
      <c r="B19" s="23"/>
      <c r="C19" s="44"/>
      <c r="D19" s="44"/>
      <c r="E19" s="24"/>
      <c r="F19" s="23"/>
    </row>
    <row r="20" customFormat="false" ht="31.5" hidden="false" customHeight="true" outlineLevel="0" collapsed="false">
      <c r="A20" s="26" t="n">
        <v>8</v>
      </c>
      <c r="B20" s="23"/>
      <c r="C20" s="44"/>
      <c r="D20" s="44"/>
      <c r="E20" s="24"/>
      <c r="F20" s="23"/>
    </row>
    <row r="21" customFormat="false" ht="31.5" hidden="false" customHeight="true" outlineLevel="0" collapsed="false">
      <c r="A21" s="22" t="n">
        <v>9</v>
      </c>
      <c r="B21" s="23"/>
      <c r="C21" s="44"/>
      <c r="D21" s="44"/>
      <c r="E21" s="24"/>
      <c r="F21" s="23"/>
    </row>
    <row r="22" customFormat="false" ht="31.5" hidden="false" customHeight="true" outlineLevel="0" collapsed="false">
      <c r="A22" s="26" t="n">
        <v>10</v>
      </c>
      <c r="B22" s="23"/>
      <c r="C22" s="44"/>
      <c r="D22" s="44"/>
      <c r="E22" s="24"/>
      <c r="F22" s="23"/>
    </row>
    <row r="23" customFormat="false" ht="31.5" hidden="false" customHeight="true" outlineLevel="0" collapsed="false">
      <c r="A23" s="22" t="n">
        <v>11</v>
      </c>
      <c r="B23" s="23"/>
      <c r="C23" s="44"/>
      <c r="D23" s="44"/>
      <c r="E23" s="24"/>
      <c r="F23" s="23"/>
    </row>
    <row r="24" customFormat="false" ht="31.5" hidden="false" customHeight="true" outlineLevel="0" collapsed="false">
      <c r="A24" s="26" t="n">
        <v>12</v>
      </c>
      <c r="B24" s="23"/>
      <c r="C24" s="44"/>
      <c r="D24" s="44"/>
      <c r="E24" s="24"/>
      <c r="F24" s="23"/>
    </row>
    <row r="25" customFormat="false" ht="31.5" hidden="false" customHeight="true" outlineLevel="0" collapsed="false">
      <c r="A25" s="22" t="n">
        <v>13</v>
      </c>
      <c r="B25" s="23"/>
      <c r="C25" s="44"/>
      <c r="D25" s="44"/>
      <c r="E25" s="24"/>
      <c r="F25" s="23"/>
    </row>
    <row r="26" customFormat="false" ht="31.5" hidden="false" customHeight="true" outlineLevel="0" collapsed="false">
      <c r="A26" s="26" t="n">
        <v>14</v>
      </c>
      <c r="B26" s="23"/>
      <c r="C26" s="44"/>
      <c r="D26" s="44"/>
      <c r="E26" s="24"/>
      <c r="F26" s="23"/>
    </row>
    <row r="27" customFormat="false" ht="31.5" hidden="false" customHeight="true" outlineLevel="0" collapsed="false">
      <c r="A27" s="22" t="n">
        <v>15</v>
      </c>
      <c r="B27" s="23"/>
      <c r="C27" s="44"/>
      <c r="D27" s="44"/>
      <c r="E27" s="24"/>
      <c r="F27" s="23"/>
    </row>
    <row r="28" customFormat="false" ht="31.5" hidden="false" customHeight="true" outlineLevel="0" collapsed="false">
      <c r="A28" s="26" t="n">
        <v>16</v>
      </c>
      <c r="B28" s="23"/>
      <c r="C28" s="44"/>
      <c r="D28" s="44"/>
      <c r="E28" s="24"/>
      <c r="F28" s="23"/>
    </row>
    <row r="29" customFormat="false" ht="31.5" hidden="false" customHeight="true" outlineLevel="0" collapsed="false">
      <c r="A29" s="22" t="n">
        <v>17</v>
      </c>
      <c r="B29" s="23"/>
      <c r="C29" s="44"/>
      <c r="D29" s="44"/>
      <c r="E29" s="24"/>
      <c r="F29" s="23"/>
    </row>
    <row r="30" customFormat="false" ht="31.5" hidden="false" customHeight="true" outlineLevel="0" collapsed="false">
      <c r="A30" s="26" t="n">
        <v>18</v>
      </c>
      <c r="B30" s="23"/>
      <c r="C30" s="44"/>
      <c r="D30" s="44"/>
      <c r="E30" s="24"/>
      <c r="F30" s="23"/>
    </row>
    <row r="31" customFormat="false" ht="31.5" hidden="false" customHeight="true" outlineLevel="0" collapsed="false">
      <c r="A31" s="22" t="n">
        <v>19</v>
      </c>
      <c r="B31" s="23"/>
      <c r="C31" s="44"/>
      <c r="D31" s="44"/>
      <c r="E31" s="24"/>
      <c r="F31" s="23"/>
    </row>
    <row r="32" customFormat="false" ht="31.5" hidden="false" customHeight="true" outlineLevel="0" collapsed="false">
      <c r="A32" s="26" t="n">
        <v>20</v>
      </c>
      <c r="B32" s="23"/>
      <c r="C32" s="44"/>
      <c r="D32" s="44"/>
      <c r="E32" s="24"/>
      <c r="F32" s="23"/>
    </row>
    <row r="33" customFormat="false" ht="19.5" hidden="false" customHeight="true" outlineLevel="0" collapsed="false">
      <c r="A33" s="22" t="n">
        <v>19</v>
      </c>
      <c r="B33" s="23"/>
      <c r="C33" s="44"/>
      <c r="D33" s="44"/>
      <c r="E33" s="44"/>
      <c r="F33" s="23"/>
    </row>
    <row r="34" customFormat="false" ht="31.5" hidden="false" customHeight="true" outlineLevel="0" collapsed="false">
      <c r="A34" s="26" t="n">
        <v>20</v>
      </c>
      <c r="B34" s="23"/>
      <c r="C34" s="44"/>
      <c r="D34" s="44"/>
      <c r="E34" s="44"/>
      <c r="F34" s="23"/>
    </row>
    <row r="35" customFormat="false" ht="18" hidden="false" customHeight="true" outlineLevel="0" collapsed="false">
      <c r="A35" s="45" t="s">
        <v>64</v>
      </c>
      <c r="B35" s="45"/>
      <c r="C35" s="45"/>
      <c r="D35" s="45"/>
      <c r="E35" s="45"/>
      <c r="F35" s="45"/>
    </row>
    <row r="36" customFormat="false" ht="31.5" hidden="false" customHeight="true" outlineLevel="0" collapsed="false">
      <c r="A36" s="27"/>
      <c r="B36" s="27" t="s">
        <v>65</v>
      </c>
      <c r="C36" s="27" t="s">
        <v>104</v>
      </c>
      <c r="D36" s="27" t="s">
        <v>105</v>
      </c>
      <c r="E36" s="46" t="s">
        <v>106</v>
      </c>
      <c r="F36" s="27" t="s">
        <v>70</v>
      </c>
    </row>
    <row r="37" customFormat="false" ht="27.75" hidden="false" customHeight="true" outlineLevel="0" collapsed="false">
      <c r="A37" s="47"/>
      <c r="B37" s="3" t="s">
        <v>81</v>
      </c>
      <c r="C37" s="47" t="n">
        <f aca="false">SUMPRODUCT((C15:C34="1")+(C15:C34="2")+(C15:C34="3")+(C15:C34="4")+(C15:C34="5"))</f>
        <v>0</v>
      </c>
      <c r="D37" s="47" t="n">
        <f aca="false">SUMPRODUCT((C15:C34="4")+(C15:C34="5"))</f>
        <v>0</v>
      </c>
      <c r="E37" s="30" t="str">
        <f aca="false">IFERROR(D37/C37,"")</f>
        <v/>
      </c>
      <c r="F37" s="32" t="str">
        <f aca="false">IF(C37=0,"No scores yet",IF(E37&gt;=0.85,"PASS","FAIL"))</f>
        <v>No scores yet</v>
      </c>
    </row>
    <row r="38" customFormat="false" ht="27.75" hidden="false" customHeight="true" outlineLevel="0" collapsed="false">
      <c r="A38" s="26"/>
      <c r="B38" s="33" t="s">
        <v>82</v>
      </c>
      <c r="C38" s="26" t="n">
        <f aca="false">SUMPRODUCT((D15:D34="1")+(D15:D34="2")+(D15:D34="3")+(D15:D34="4")+(D15:D34="5"))</f>
        <v>0</v>
      </c>
      <c r="D38" s="26" t="n">
        <f aca="false">SUMPRODUCT((D15:D34="4")+(D15:D34="5"))</f>
        <v>0</v>
      </c>
      <c r="E38" s="35" t="str">
        <f aca="false">IFERROR(D38/C38,"")</f>
        <v/>
      </c>
      <c r="F38" s="32" t="str">
        <f aca="false">IF(C38=0,"No scores yet",IF(E38&gt;=0.8,"PASS","FAIL"))</f>
        <v>No scores yet</v>
      </c>
    </row>
    <row r="39" customFormat="false" ht="27.75" hidden="false" customHeight="true" outlineLevel="0" collapsed="false">
      <c r="A39" s="47"/>
      <c r="B39" s="3" t="s">
        <v>83</v>
      </c>
      <c r="C39" s="47" t="n">
        <f aca="false">SUMPRODUCT((E15:E34="1")+(E15:E34="2")+(E15:E34="3")+(E15:E34="4")+(E15:E34="5"))</f>
        <v>0</v>
      </c>
      <c r="D39" s="47" t="n">
        <f aca="false">SUMPRODUCT((E15:E34="3")+(E15:E34="4")+(E15:E34="5"))</f>
        <v>0</v>
      </c>
      <c r="E39" s="30" t="str">
        <f aca="false">IFERROR(D39/C39,"")</f>
        <v/>
      </c>
      <c r="F39" s="32" t="str">
        <f aca="false">IF(C39=0,"No scores yet",IF(E39&gt;=0.8,"PASS","FAIL"))</f>
        <v>No scores yet</v>
      </c>
    </row>
    <row r="40" customFormat="false" ht="19.5" hidden="false" customHeight="true" outlineLevel="0" collapsed="false">
      <c r="A40" s="48" t="s">
        <v>107</v>
      </c>
      <c r="B40" s="48"/>
      <c r="C40" s="48"/>
      <c r="D40" s="48"/>
      <c r="E40" s="48"/>
      <c r="F40" s="48"/>
    </row>
    <row r="41" customFormat="false" ht="27.75" hidden="false" customHeight="true" outlineLevel="0" collapsed="false">
      <c r="A41" s="49" t="s">
        <v>108</v>
      </c>
      <c r="B41" s="49"/>
      <c r="C41" s="49"/>
      <c r="D41" s="49"/>
      <c r="E41" s="49"/>
      <c r="F41" s="38" t="str">
        <f aca="false">IF(OR(C37=0,C38=0,C39=0),"Incomplete — enter all scores",IF(AND(F37="PASS",F38="PASS",F39="PASS"),"PASS — all thresholds met","FAIL — threshold(s) not met"))</f>
        <v>Incomplete — enter all scores</v>
      </c>
    </row>
    <row r="42" customFormat="false" ht="15" hidden="false" customHeight="false" outlineLevel="0" collapsed="false">
      <c r="A42" s="50"/>
      <c r="B42" s="50"/>
      <c r="C42" s="50"/>
      <c r="D42" s="50"/>
      <c r="E42" s="50"/>
      <c r="F42" s="50"/>
    </row>
    <row r="43" customFormat="false" ht="15" hidden="false" customHeight="false" outlineLevel="0" collapsed="false">
      <c r="A43" s="50"/>
      <c r="B43" s="50"/>
      <c r="C43" s="50"/>
      <c r="D43" s="50"/>
      <c r="E43" s="50"/>
      <c r="F43" s="50"/>
    </row>
    <row r="44" customFormat="false" ht="15" hidden="false" customHeight="false" outlineLevel="0" collapsed="false">
      <c r="A44" s="50"/>
      <c r="B44" s="50"/>
      <c r="C44" s="50"/>
      <c r="D44" s="50"/>
      <c r="E44" s="50"/>
      <c r="F44" s="50"/>
    </row>
    <row r="45" customFormat="false" ht="15" hidden="false" customHeight="false" outlineLevel="0" collapsed="false">
      <c r="A45" s="50"/>
      <c r="B45" s="50"/>
      <c r="C45" s="50"/>
      <c r="D45" s="50"/>
      <c r="E45" s="50"/>
      <c r="F45" s="50"/>
    </row>
  </sheetData>
  <mergeCells count="16">
    <mergeCell ref="A1:F1"/>
    <mergeCell ref="B2:C2"/>
    <mergeCell ref="E2:F2"/>
    <mergeCell ref="B3:C3"/>
    <mergeCell ref="E3:F3"/>
    <mergeCell ref="B4:C4"/>
    <mergeCell ref="A5:F5"/>
    <mergeCell ref="A6:F6"/>
    <mergeCell ref="D8:F8"/>
    <mergeCell ref="D9:F9"/>
    <mergeCell ref="D10:F10"/>
    <mergeCell ref="D11:F11"/>
    <mergeCell ref="D12:F12"/>
    <mergeCell ref="A35:F35"/>
    <mergeCell ref="A40:F40"/>
    <mergeCell ref="A41:E41"/>
  </mergeCells>
  <dataValidations count="2">
    <dataValidation allowBlank="false" errorStyle="stop" operator="between" showDropDown="false" showErrorMessage="false" showInputMessage="false" sqref="B4" type="list">
      <formula1>"Low,Medium,High"</formula1>
      <formula2>0</formula2>
    </dataValidation>
    <dataValidation allowBlank="true" errorStyle="stop" operator="between" showDropDown="false" showErrorMessage="false" showInputMessage="false" sqref="C15:D32 C34:D34"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5" min="3" style="1" width="16"/>
    <col collapsed="false" customWidth="true" hidden="false" outlineLevel="0" max="6" min="6" style="1" width="20"/>
    <col collapsed="false" customWidth="true" hidden="false" outlineLevel="0" max="7" min="7" style="1" width="22"/>
  </cols>
  <sheetData>
    <row r="1" customFormat="false" ht="36" hidden="false" customHeight="true" outlineLevel="0" collapsed="false">
      <c r="A1" s="2" t="s">
        <v>109</v>
      </c>
      <c r="B1" s="2"/>
      <c r="C1" s="2"/>
      <c r="D1" s="2"/>
      <c r="E1" s="2"/>
      <c r="F1" s="2"/>
      <c r="G1" s="2"/>
    </row>
    <row r="2" customFormat="false" ht="21.75" hidden="false" customHeight="true" outlineLevel="0" collapsed="false">
      <c r="A2" s="5" t="s">
        <v>19</v>
      </c>
      <c r="B2" s="6"/>
      <c r="C2" s="6"/>
      <c r="D2" s="6"/>
    </row>
    <row r="3" customFormat="false" ht="21.75" hidden="false" customHeight="true" outlineLevel="0" collapsed="false">
      <c r="A3" s="5" t="s">
        <v>21</v>
      </c>
      <c r="B3" s="6"/>
      <c r="C3" s="6"/>
      <c r="D3" s="6"/>
    </row>
    <row r="4" customFormat="false" ht="49.5" hidden="false" customHeight="true" outlineLevel="0" collapsed="false">
      <c r="A4" s="51" t="s">
        <v>110</v>
      </c>
      <c r="B4" s="51"/>
      <c r="C4" s="51"/>
      <c r="D4" s="51"/>
      <c r="E4" s="51"/>
      <c r="F4" s="51"/>
      <c r="G4" s="51"/>
    </row>
    <row r="5" customFormat="false" ht="18" hidden="false" customHeight="true" outlineLevel="0" collapsed="false">
      <c r="A5" s="9" t="s">
        <v>111</v>
      </c>
      <c r="B5" s="9"/>
      <c r="C5" s="9"/>
      <c r="D5" s="9"/>
      <c r="E5" s="9"/>
      <c r="F5" s="9"/>
      <c r="G5" s="9"/>
    </row>
    <row r="6" customFormat="false" ht="18" hidden="false" customHeight="true" outlineLevel="0" collapsed="false">
      <c r="A6" s="27"/>
      <c r="B6" s="27" t="s">
        <v>112</v>
      </c>
      <c r="C6" s="27" t="s">
        <v>113</v>
      </c>
      <c r="D6" s="27" t="s">
        <v>114</v>
      </c>
      <c r="E6" s="27" t="s">
        <v>70</v>
      </c>
      <c r="F6" s="27"/>
      <c r="G6" s="27"/>
    </row>
    <row r="7" customFormat="false" ht="24" hidden="false" customHeight="true" outlineLevel="0" collapsed="false">
      <c r="A7" s="52"/>
      <c r="B7" s="53" t="s">
        <v>115</v>
      </c>
      <c r="C7" s="54"/>
      <c r="D7" s="55" t="s">
        <v>116</v>
      </c>
      <c r="E7" s="55"/>
      <c r="F7" s="55"/>
      <c r="G7" s="55"/>
    </row>
    <row r="8" customFormat="false" ht="24" hidden="false" customHeight="true" outlineLevel="0" collapsed="false">
      <c r="A8" s="4"/>
      <c r="B8" s="33" t="s">
        <v>117</v>
      </c>
      <c r="C8" s="54"/>
      <c r="D8" s="56"/>
      <c r="E8" s="56"/>
      <c r="F8" s="56"/>
      <c r="G8" s="56"/>
    </row>
    <row r="9" customFormat="false" ht="24" hidden="false" customHeight="true" outlineLevel="0" collapsed="false">
      <c r="A9" s="52"/>
      <c r="B9" s="53" t="s">
        <v>118</v>
      </c>
      <c r="C9" s="54"/>
      <c r="D9" s="55"/>
      <c r="E9" s="55"/>
      <c r="F9" s="55"/>
      <c r="G9" s="55"/>
    </row>
    <row r="10" customFormat="false" ht="24" hidden="false" customHeight="true" outlineLevel="0" collapsed="false">
      <c r="A10" s="4"/>
      <c r="B10" s="33" t="s">
        <v>119</v>
      </c>
      <c r="C10" s="54"/>
      <c r="D10" s="56" t="s">
        <v>120</v>
      </c>
      <c r="E10" s="56"/>
      <c r="F10" s="56"/>
      <c r="G10" s="56"/>
    </row>
    <row r="11" customFormat="false" ht="24" hidden="false" customHeight="true" outlineLevel="0" collapsed="false">
      <c r="A11" s="52"/>
      <c r="B11" s="53" t="s">
        <v>121</v>
      </c>
      <c r="C11" s="57" t="str">
        <f aca="false">IF(C8=0,"",C8/C7)</f>
        <v/>
      </c>
      <c r="D11" s="55" t="s">
        <v>122</v>
      </c>
      <c r="E11" s="55"/>
      <c r="F11" s="55"/>
      <c r="G11" s="55"/>
    </row>
    <row r="12" customFormat="false" ht="24" hidden="false" customHeight="true" outlineLevel="0" collapsed="false">
      <c r="A12" s="4"/>
      <c r="B12" s="33" t="s">
        <v>123</v>
      </c>
      <c r="C12" s="54" t="s">
        <v>124</v>
      </c>
      <c r="D12" s="56" t="s">
        <v>125</v>
      </c>
      <c r="E12" s="56"/>
      <c r="F12" s="56"/>
      <c r="G12" s="56"/>
    </row>
    <row r="13" customFormat="false" ht="24" hidden="false" customHeight="true" outlineLevel="0" collapsed="false">
      <c r="A13" s="52"/>
      <c r="B13" s="53" t="s">
        <v>126</v>
      </c>
      <c r="C13" s="54" t="s">
        <v>124</v>
      </c>
      <c r="D13" s="55" t="s">
        <v>125</v>
      </c>
      <c r="E13" s="55"/>
      <c r="F13" s="55"/>
      <c r="G13" s="55"/>
    </row>
    <row r="14" customFormat="false" ht="27.75" hidden="false" customHeight="true" outlineLevel="0" collapsed="false">
      <c r="A14" s="58" t="s">
        <v>127</v>
      </c>
      <c r="B14" s="58"/>
      <c r="C14" s="58"/>
      <c r="D14" s="58"/>
      <c r="E14" s="59"/>
      <c r="F14" s="59"/>
      <c r="G14" s="59"/>
    </row>
    <row r="15" customFormat="false" ht="18" hidden="false" customHeight="true" outlineLevel="0" collapsed="false">
      <c r="A15" s="9" t="s">
        <v>128</v>
      </c>
      <c r="B15" s="9"/>
      <c r="C15" s="9"/>
      <c r="D15" s="9"/>
      <c r="E15" s="9"/>
      <c r="F15" s="9"/>
      <c r="G15" s="9"/>
    </row>
    <row r="16" customFormat="false" ht="30" hidden="false" customHeight="true" outlineLevel="0" collapsed="false">
      <c r="A16" s="27"/>
      <c r="B16" s="27" t="s">
        <v>65</v>
      </c>
      <c r="C16" s="27" t="s">
        <v>129</v>
      </c>
      <c r="D16" s="27" t="s">
        <v>130</v>
      </c>
      <c r="E16" s="27" t="s">
        <v>131</v>
      </c>
      <c r="F16" s="27" t="s">
        <v>114</v>
      </c>
      <c r="G16" s="27" t="s">
        <v>132</v>
      </c>
    </row>
    <row r="17" customFormat="false" ht="27.75" hidden="false" customHeight="true" outlineLevel="0" collapsed="false">
      <c r="A17" s="52"/>
      <c r="B17" s="53" t="s">
        <v>26</v>
      </c>
      <c r="C17" s="60" t="str">
        <f aca="false">'Layer 2 — SME Review'!E42</f>
        <v/>
      </c>
      <c r="D17" s="61"/>
      <c r="E17" s="62" t="str">
        <f aca="false">IFERROR(AVERAGE(C17,D17),IF(C17&lt;&gt;"",C17,IF(D17&lt;&gt;"",D17,"")))</f>
        <v/>
      </c>
      <c r="F17" s="63" t="s">
        <v>71</v>
      </c>
      <c r="G17" s="64" t="str">
        <f aca="false">IF(E17="","Awaiting scores",IF(E17&gt;=0.85,"PASS","FAIL"))</f>
        <v>Awaiting scores</v>
      </c>
    </row>
    <row r="18" customFormat="false" ht="27.75" hidden="false" customHeight="true" outlineLevel="0" collapsed="false">
      <c r="A18" s="4"/>
      <c r="B18" s="33" t="s">
        <v>27</v>
      </c>
      <c r="C18" s="60" t="str">
        <f aca="false">'Layer 2 — SME Review'!E43</f>
        <v/>
      </c>
      <c r="D18" s="61"/>
      <c r="E18" s="65" t="str">
        <f aca="false">IFERROR(AVERAGE(C18,D18),IF(C18&lt;&gt;"",C18,IF(D18&lt;&gt;"",D18,"")))</f>
        <v/>
      </c>
      <c r="F18" s="66" t="s">
        <v>72</v>
      </c>
      <c r="G18" s="64" t="str">
        <f aca="false">IF(E18="","Awaiting scores",IF(E18&gt;=0.8,"PASS","FAIL"))</f>
        <v>Awaiting scores</v>
      </c>
    </row>
    <row r="19" customFormat="false" ht="27.75" hidden="false" customHeight="true" outlineLevel="0" collapsed="false">
      <c r="A19" s="52"/>
      <c r="B19" s="53" t="s">
        <v>28</v>
      </c>
      <c r="C19" s="60" t="str">
        <f aca="false">'Layer 2 — SME Review'!E44</f>
        <v/>
      </c>
      <c r="D19" s="61"/>
      <c r="E19" s="62" t="str">
        <f aca="false">IFERROR(AVERAGE(C19,D19),IF(C19&lt;&gt;"",C19,IF(D19&lt;&gt;"",D19,"")))</f>
        <v/>
      </c>
      <c r="F19" s="63" t="s">
        <v>71</v>
      </c>
      <c r="G19" s="64" t="str">
        <f aca="false">IF(E19="","Awaiting scores",IF(E19&gt;=0.85,"PASS","FAIL"))</f>
        <v>Awaiting scores</v>
      </c>
    </row>
    <row r="20" customFormat="false" ht="27.75" hidden="false" customHeight="true" outlineLevel="0" collapsed="false">
      <c r="A20" s="4"/>
      <c r="B20" s="33" t="s">
        <v>29</v>
      </c>
      <c r="C20" s="54"/>
      <c r="D20" s="54"/>
      <c r="E20" s="4"/>
      <c r="F20" s="66" t="s">
        <v>133</v>
      </c>
      <c r="G20" s="24"/>
    </row>
    <row r="21" customFormat="false" ht="27.75" hidden="false" customHeight="true" outlineLevel="0" collapsed="false">
      <c r="A21" s="20" t="s">
        <v>75</v>
      </c>
      <c r="B21" s="20"/>
      <c r="C21" s="20"/>
      <c r="D21" s="20"/>
      <c r="E21" s="20"/>
      <c r="F21" s="20"/>
      <c r="G21" s="38" t="str">
        <f aca="false">IF(OR(E17="",E18="",E19="",G20=""),"Awaiting all scores",IF(AND(G17="PASS",G18="PASS",G19="PASS",G20="PASS"),"GATE 2: PASS — proceed to Layer 3","GATE 2: FAIL — do not proceed to Layer 3"))</f>
        <v>Awaiting all scores</v>
      </c>
    </row>
    <row r="22" customFormat="false" ht="18" hidden="false" customHeight="true" outlineLevel="0" collapsed="false">
      <c r="A22" s="9" t="s">
        <v>134</v>
      </c>
      <c r="B22" s="9"/>
      <c r="C22" s="9"/>
      <c r="D22" s="9"/>
      <c r="E22" s="9"/>
      <c r="F22" s="9"/>
      <c r="G22" s="9"/>
    </row>
    <row r="23" customFormat="false" ht="30" hidden="false" customHeight="true" outlineLevel="0" collapsed="false">
      <c r="A23" s="27"/>
      <c r="B23" s="27" t="s">
        <v>65</v>
      </c>
      <c r="C23" s="27" t="s">
        <v>135</v>
      </c>
      <c r="D23" s="27" t="s">
        <v>136</v>
      </c>
      <c r="E23" s="27" t="s">
        <v>137</v>
      </c>
      <c r="F23" s="27" t="s">
        <v>114</v>
      </c>
      <c r="G23" s="27" t="s">
        <v>138</v>
      </c>
    </row>
    <row r="24" customFormat="false" ht="27.75" hidden="false" customHeight="true" outlineLevel="0" collapsed="false">
      <c r="A24" s="52"/>
      <c r="B24" s="53" t="s">
        <v>81</v>
      </c>
      <c r="C24" s="67" t="n">
        <f aca="false">'Layer 3 — Business User Pilot'!C37</f>
        <v>0</v>
      </c>
      <c r="D24" s="67" t="n">
        <f aca="false">'Layer 3 — Business User Pilot'!D37</f>
        <v>0</v>
      </c>
      <c r="E24" s="62" t="str">
        <f aca="false">IFERROR(D24/C24,"")</f>
        <v/>
      </c>
      <c r="F24" s="68" t="s">
        <v>139</v>
      </c>
      <c r="G24" s="69" t="str">
        <f aca="false">'Layer 3 — Business User Pilot'!F37</f>
        <v>No scores yet</v>
      </c>
    </row>
    <row r="25" customFormat="false" ht="27.75" hidden="false" customHeight="true" outlineLevel="0" collapsed="false">
      <c r="A25" s="4"/>
      <c r="B25" s="33" t="s">
        <v>82</v>
      </c>
      <c r="C25" s="70" t="n">
        <f aca="false">'Layer 3 — Business User Pilot'!C38</f>
        <v>0</v>
      </c>
      <c r="D25" s="70" t="n">
        <f aca="false">'Layer 3 — Business User Pilot'!D38</f>
        <v>0</v>
      </c>
      <c r="E25" s="65" t="str">
        <f aca="false">IFERROR(D25/C25,"")</f>
        <v/>
      </c>
      <c r="F25" s="71" t="s">
        <v>140</v>
      </c>
      <c r="G25" s="69" t="str">
        <f aca="false">'Layer 3 — Business User Pilot'!F38</f>
        <v>No scores yet</v>
      </c>
    </row>
    <row r="26" customFormat="false" ht="27.75" hidden="false" customHeight="true" outlineLevel="0" collapsed="false">
      <c r="A26" s="52"/>
      <c r="B26" s="53" t="s">
        <v>83</v>
      </c>
      <c r="C26" s="72" t="n">
        <f aca="false">'Layer 3 — Business User Pilot'!C39</f>
        <v>0</v>
      </c>
      <c r="D26" s="72" t="n">
        <f aca="false">'Layer 3 — Business User Pilot'!D39</f>
        <v>0</v>
      </c>
      <c r="E26" s="62" t="str">
        <f aca="false">IFERROR(D26/C26,"")</f>
        <v/>
      </c>
      <c r="F26" s="73" t="s">
        <v>141</v>
      </c>
      <c r="G26" s="69" t="str">
        <f aca="false">'Layer 3 — Business User Pilot'!F39</f>
        <v>No scores yet</v>
      </c>
    </row>
    <row r="27" customFormat="false" ht="27.75" hidden="false" customHeight="true" outlineLevel="0" collapsed="false">
      <c r="A27" s="4"/>
      <c r="B27" s="33" t="s">
        <v>142</v>
      </c>
      <c r="C27" s="54"/>
      <c r="D27" s="54"/>
      <c r="E27" s="65" t="str">
        <f aca="false">IFERROR(D27/C27,"")</f>
        <v/>
      </c>
      <c r="F27" s="66" t="s">
        <v>143</v>
      </c>
      <c r="G27" s="64" t="str">
        <f aca="false">IF(C27="","Awaiting scores",IF(E27&gt;=0.85,"PASS","FAIL"))</f>
        <v>Awaiting scores</v>
      </c>
    </row>
    <row r="28" customFormat="false" ht="27.75" hidden="false" customHeight="true" outlineLevel="0" collapsed="false">
      <c r="A28" s="20" t="s">
        <v>144</v>
      </c>
      <c r="B28" s="20"/>
      <c r="C28" s="20"/>
      <c r="D28" s="20"/>
      <c r="E28" s="20"/>
      <c r="F28" s="20"/>
      <c r="G28" s="38" t="str">
        <f aca="false">IF(OR(C24="",C25="",C26="",C27=""),"Awaiting all scores",IF(AND(G24="PASS",G25="PASS",G26="PASS",G27="PASS"),"GATE 3: PASS — proceed to staged rollout","GATE 3: FAIL — review failed dimension(s)"))</f>
        <v>Awaiting all scores</v>
      </c>
    </row>
    <row r="29" customFormat="false" ht="18" hidden="false" customHeight="true" outlineLevel="0" collapsed="false">
      <c r="A29" s="20" t="s">
        <v>145</v>
      </c>
      <c r="B29" s="20"/>
      <c r="C29" s="20"/>
      <c r="D29" s="20"/>
      <c r="E29" s="20"/>
      <c r="F29" s="20"/>
      <c r="G29" s="20"/>
    </row>
    <row r="30" customFormat="false" ht="36" hidden="false" customHeight="true" outlineLevel="0" collapsed="false">
      <c r="A30" s="58" t="s">
        <v>146</v>
      </c>
      <c r="B30" s="58"/>
      <c r="C30" s="58"/>
      <c r="D30" s="58"/>
      <c r="E30" s="58"/>
      <c r="F30" s="58"/>
      <c r="G30" s="38" t="str">
        <f aca="false">IF(OR(C14="",G21="",G28=""),"Awaiting all gate results",IF(AND(C14="PASS — proceed to Layer 2",G21="GATE 2: PASS — proceed to Layer 3",G28="GATE 3: PASS — proceed to staged rollout"),"AUTHORISED — proceed to 10% staged rollout","NOT AUTHORISED — one or more gates failed. See results above."))</f>
        <v>Awaiting all gate results</v>
      </c>
    </row>
  </sheetData>
  <mergeCells count="21">
    <mergeCell ref="A1:G1"/>
    <mergeCell ref="B2:D2"/>
    <mergeCell ref="B3:D3"/>
    <mergeCell ref="A4:G4"/>
    <mergeCell ref="B4:D4"/>
    <mergeCell ref="A5:G5"/>
    <mergeCell ref="D7:G7"/>
    <mergeCell ref="D8:G8"/>
    <mergeCell ref="D9:G9"/>
    <mergeCell ref="D10:G10"/>
    <mergeCell ref="D11:G11"/>
    <mergeCell ref="D12:G12"/>
    <mergeCell ref="D13:G13"/>
    <mergeCell ref="A14:D14"/>
    <mergeCell ref="E14:G14"/>
    <mergeCell ref="A15:G15"/>
    <mergeCell ref="A21:F21"/>
    <mergeCell ref="A22:G22"/>
    <mergeCell ref="A28:F28"/>
    <mergeCell ref="A29:G29"/>
    <mergeCell ref="A30:F30"/>
  </mergeCells>
  <dataValidations count="2">
    <dataValidation allowBlank="true" errorStyle="stop" operator="between" showDropDown="false" showErrorMessage="false" showInputMessage="false" sqref="E14" type="list">
      <formula1>"PASS — proceed to Layer 2,FAIL — do not proceed to Layer 2"</formula1>
      <formula2>0</formula2>
    </dataValidation>
    <dataValidation allowBlank="true" errorStyle="stop" operator="between" showDropDown="false" showErrorMessage="false" showInputMessage="false" sqref="G20" type="list">
      <formula1>"PASS,FAIL"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2026-06-02T19:26:15Z</dcterms:created>
  <dc:creator>openpyxl</dc:creator>
  <dc:description/>
  <dc:language>en-US</dc:language>
  <cp:lastModifiedBy/>
  <dcterms:modified xsi:type="dcterms:W3CDTF">2026-06-02T19:54:48Z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