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Calibration" sheetId="2" state="visible" r:id="rId4"/>
    <sheet name="Scoring" sheetId="3" state="visible" r:id="rId5"/>
    <sheet name="Summary" sheetId="4" state="visible" r:id="rId6"/>
    <sheet name="Anchor Card"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<sst xmlns="http://schemas.openxmlformats.org/spreadsheetml/2006/main" count="261" uniqueCount="156">
  <si>
    <t xml:space="preserve">LAYER 2 — SME STRUCTURED REVIEW SCORING SHEET</t>
  </si>
  <si>
    <t xml:space="preserve">Genie Space Evaluation Framework  |  Internal Use  |  May 2026</t>
  </si>
  <si>
    <t xml:space="preserve">PURPOSE</t>
  </si>
  <si>
    <t xml:space="preserve">This spreadsheet is for domain SMEs and compliance reviewers scoring Genie space responses in Layer 2 of the Genie Space Evaluation Framework. You will review question-and-result-set pairs produced by the Genie space and score each on your assigned dimensions using the 1-5 behavioural anchors on the Anchor Card tab.</t>
  </si>
  <si>
    <t xml:space="preserve">WHAT GENIE PRODUCES</t>
  </si>
  <si>
    <t xml:space="preserve">Unlike a chatbot that generates free-form text, Genie generates SQL queries and returns structured result sets (tables of data). Your role is to assess whether the SQL was logically correct, whether the result set contains the right rows, and whether the data values are accurate. You do NOT need to read SQL syntax — evaluate the result set against your knowledge of what the correct answer should be.</t>
  </si>
  <si>
    <t xml:space="preserve">YOUR ASSIGNED DIMENSIONS</t>
  </si>
  <si>
    <t xml:space="preserve">You will only score dimensions within your area of expertise. Check the Reviewer Assignment section in the evaluation guide to confirm which dimensions apply to you.</t>
  </si>
  <si>
    <t xml:space="preserve">DOMAIN SME
(SQL Correctness + Result-Set Completeness + Data Value Accuracy)</t>
  </si>
  <si>
    <t xml:space="preserve">Score SQL CORRECTNESS, RESULT-SET COMPLETENESS, and DATA VALUE ACCURACY. Do not score the Policy &amp; Compliance gate.</t>
  </si>
  <si>
    <t xml:space="preserve">COMPLIANCE / LEGAL
(Policy &amp; Compliance gate)</t>
  </si>
  <si>
    <t xml:space="preserve">Score POLICY &amp; COMPLIANCE (Pass/Fail only). This is a gate — a single FAIL disqualifies the space regardless of other scores. Do not score the three SME dimensions.</t>
  </si>
  <si>
    <t xml:space="preserve">STEP 1 — CALIBRATION</t>
  </si>
  <si>
    <t xml:space="preserve">Before scoring real responses, complete the CALIBRATION tab. Score the sample questions provided. Your scores will be compared with other reviewers. Any dimension where scores differ by 2+ points requires discussion and re-anchoring before real evaluation begins.</t>
  </si>
  <si>
    <t xml:space="preserve">STEP 2 — SCORING</t>
  </si>
  <si>
    <t xml:space="preserve">Go to the SCORING tab. For each question-and-result-set pair, score your assigned dimensions IMMEDIATELY after reviewing it. Do not go back and change scores.</t>
  </si>
  <si>
    <t xml:space="preserve">STEP 3 — FLAGGING</t>
  </si>
  <si>
    <t xml:space="preserve">If a result set appears seriously wrong, returns data the user should not see, or could create compliance exposure — write FLAG in the Notes column with a brief description. Do not just score it 1. Flagged responses are reviewed individually by the evaluation lead.</t>
  </si>
  <si>
    <t xml:space="preserve">STEP 4 — DOMAIN CHECK</t>
  </si>
  <si>
    <t xml:space="preserve">If a question involves subject matter outside your area of expertise, write SKIP in the Notes column and do not score it. Do not guess at the answer.</t>
  </si>
  <si>
    <t xml:space="preserve">IMPORTANT: NO GENIE UI</t>
  </si>
  <si>
    <t xml:space="preserve">Layer 2 scoring is conducted entirely from this offline scoring packet. Do NOT use the Genie chat interface to test questions or verify answers during this session. After you have completed this scoring packet, you may return to the Genie UI to upvote responses you scored 4 or 5 (this feeds knowledge mining) and to submit thumbs down + Ask for Review on responses you scored 1 or 2.</t>
  </si>
  <si>
    <t xml:space="preserve">SCORING SCALE</t>
  </si>
  <si>
    <t xml:space="preserve">5 — EXCELLENT</t>
  </si>
  <si>
    <t xml:space="preserve">Fully correct, complete, and appropriate. No gaps, errors, or policy concerns.</t>
  </si>
  <si>
    <t xml:space="preserve">4 — GOOD</t>
  </si>
  <si>
    <t xml:space="preserve">Mostly correct with one minor issue that does not change the practical outcome or create risk.</t>
  </si>
  <si>
    <t xml:space="preserve">3 — PARTIAL</t>
  </si>
  <si>
    <t xml:space="preserve">Meaningful gap, error, or concern is present. A user relying on this result would need to follow up.</t>
  </si>
  <si>
    <t xml:space="preserve">2 — POOR</t>
  </si>
  <si>
    <t xml:space="preserve">Predominantly incorrect, incomplete, or misleading. Acting on this result could lead to a wrong conclusion.</t>
  </si>
  <si>
    <t xml:space="preserve">1 — FAIL</t>
  </si>
  <si>
    <t xml:space="preserve">Entirely wrong, policy-violating, or dangerous. Always add a written note in the Notes column.</t>
  </si>
  <si>
    <t xml:space="preserve">IMPORTANT RULES</t>
  </si>
  <si>
    <t xml:space="preserve">Score immediately</t>
  </si>
  <si>
    <t xml:space="preserve">Score each response immediately after reviewing it. Do not review all responses first and then score them in batch.</t>
  </si>
  <si>
    <t xml:space="preserve">No discussion</t>
  </si>
  <si>
    <t xml:space="preserve">Do not discuss your scores with other reviewers until the session is complete.</t>
  </si>
  <si>
    <t xml:space="preserve">Stay in your lane</t>
  </si>
  <si>
    <t xml:space="preserve">Score only your assigned dimensions. Do not score dimensions outside your area of expertise.</t>
  </si>
  <si>
    <t xml:space="preserve">FLAG serious issues</t>
  </si>
  <si>
    <t xml:space="preserve">A score of 1 must always be accompanied by a written note. If a response could cause harm or compliance exposure, write FLAG rather than just scoring it 1.</t>
  </si>
  <si>
    <t xml:space="preserve">SKIP out-of-domain items</t>
  </si>
  <si>
    <t xml:space="preserve">If a question is outside your subject matter expertise, write SKIP and do not score it. Do not guess.</t>
  </si>
  <si>
    <t xml:space="preserve">Do NOT use the Genie UI</t>
  </si>
  <si>
    <t xml:space="preserve">All Layer 2 scoring is done from this offline packet only.</t>
  </si>
  <si>
    <t xml:space="preserve">CALIBRATION — Complete before scoring real responses</t>
  </si>
  <si>
    <t xml:space="preserve">Score each sample question-and-result-set pair below independently using the 1-5 scale. After all reviewers complete this tab, scores will be compared. Any dimension where reviewers differ by 2+ points requires discussion and re-anchoring before the real evaluation begins. Do not discuss your scores with other reviewers until comparison is complete.
Gold cells = enter your score. SME reviewers: score columns D and E only. Compliance reviewers: score column F only. Column G: write FLAG or SKIP if applicable.</t>
  </si>
  <si>
    <t xml:space="preserve">#</t>
  </si>
  <si>
    <t xml:space="preserve">Question Asked</t>
  </si>
  <si>
    <t xml:space="preserve">Genie Result Set Returned (sample)</t>
  </si>
  <si>
    <t xml:space="preserve">SQL Correctness
(SME only)
1–5</t>
  </si>
  <si>
    <t xml:space="preserve">Result-Set Completeness
(SME only)
1–5</t>
  </si>
  <si>
    <t xml:space="preserve">Policy &amp; Compliance
(Compliance only)
PASS / FAIL</t>
  </si>
  <si>
    <t xml:space="preserve">Notes / FLAG / SKIP</t>
  </si>
  <si>
    <t xml:space="preserve">A user asked: 'Show me all active loans with commitment above $1M.'</t>
  </si>
  <si>
    <t xml:space="preserve">Genie returned a table with 47 rows. All rows show Status = 'Active'. CommitCurrent values range from $1.02M to $48.5M. No inactive loans appear.</t>
  </si>
  <si>
    <t xml:space="preserve">A user asked: 'What is our total participation volume this quarter?'</t>
  </si>
  <si>
    <t xml:space="preserve">Genie returned a single cell: $142.3M. The result includes loans from Q3 and Q4 of the prior year, not the current quarter.</t>
  </si>
  <si>
    <t xml:space="preserve">A user asked: 'List loans by relationship manager sorted by commitment.'</t>
  </si>
  <si>
    <t xml:space="preserve">Genie returned a table sorted alphabetically by RM name rather than by commitment amount. The loan data appears correct but the sort is wrong.</t>
  </si>
  <si>
    <t xml:space="preserve">A user asked: 'Show me loans where PD Rating is below investment grade.'</t>
  </si>
  <si>
    <t xml:space="preserve">Genie returned a table with 12 rows including a column showing PD ratings ranging from BB- to CCC. The result includes a loan from a restricted counterparty that this user should not have access to under data governance policy.</t>
  </si>
  <si>
    <t xml:space="preserve">A user asked: 'What is the average commitment for syndicated loans?'</t>
  </si>
  <si>
    <t xml:space="preserve">Genie returned $24.7M. Cross-checking against a known reference report shows the correct figure is $24.7M for the same period and filters.</t>
  </si>
  <si>
    <t xml:space="preserve">A user asked: 'Show participation loans approved since 12/31/2018.'</t>
  </si>
  <si>
    <t xml:space="preserve">Genie returned a table with 203 rows. Spot-checking 5 rows confirms the approval dates are all post-12/31/2018 and all loans have a ParticipationType value. No pre-2019 loans appear.</t>
  </si>
  <si>
    <t xml:space="preserve">A user asked: 'Which regions have the highest concentration risk?'</t>
  </si>
  <si>
    <t xml:space="preserve">Genie returned a table showing total commitment by region. The top 3 regions are correct based on the reviewer's knowledge, but the table is missing the South-East region entirely, which should rank 4th.</t>
  </si>
  <si>
    <t xml:space="preserve">A user asked: 'Show me all loans where AcceptableVol is null.'</t>
  </si>
  <si>
    <t xml:space="preserve">Genie returned an empty result set with the message 'No records found.' The reviewer knows from experience that approximately 15% of loans have null AcceptableVol values — the result set should not be empty.</t>
  </si>
  <si>
    <t xml:space="preserve">SCORING — Layer 2 SME Structured Review</t>
  </si>
  <si>
    <t xml:space="preserve">Reviewer name:</t>
  </si>
  <si>
    <t xml:space="preserve">Date:</t>
  </si>
  <si>
    <t xml:space="preserve">Reviewer type (circle):   DOMAIN SME   /   COMPLIANCE-LEGAL</t>
  </si>
  <si>
    <t xml:space="preserve">Score each question-result-set pair IMMEDIATELY after reviewing it. Do not go back and change scores. Domain SME reviewers: score SQL Correctness, Result-Set Completeness, and Data Value Accuracy only (columns E, F, G). Compliance reviewers: score Policy &amp; Compliance only (column H — PASS or FAIL). Write FLAG or SKIP in Notes column where applicable. Column C shows the SQL Genie generated. Column D shows a summary of the result set returned. You do not need to read SQL — focus on whether the result set in column D answers the question correctly.</t>
  </si>
  <si>
    <t xml:space="preserve">Question Asked
(as entered in Genie)</t>
  </si>
  <si>
    <t xml:space="preserve">SQL Genie Generated
(provided by evaluation lead)</t>
  </si>
  <si>
    <t xml:space="preserve">Result Set Summary
(provided by evaluation lead)</t>
  </si>
  <si>
    <t xml:space="preserve">Data Value Accuracy
(SME only)
1–5</t>
  </si>
  <si>
    <t xml:space="preserve">Notes
(FLAG / SKIP / comments —
required for any score of 1 or FAIL)</t>
  </si>
  <si>
    <t xml:space="preserve">[Paste question text here]</t>
  </si>
  <si>
    <t xml:space="preserve">[Paste SQL Genie generated here]</t>
  </si>
  <si>
    <t xml:space="preserve">[Paste result set summary here]</t>
  </si>
  <si>
    <t xml:space="preserve">SUMMARY — Layer 2 Scoring Results</t>
  </si>
  <si>
    <t xml:space="preserve">This summary is completed manually from the Scoring tab averages. Calculate the weighted scorecard total and compare against the minimum for your risk tier. The Policy and Compliance gate must be assessed separately — a single FAIL disqualifies the space regardless of the weighted total.</t>
  </si>
  <si>
    <t xml:space="preserve">RISK TIER THRESHOLDS — enter your risk tier and confirm thresholds apply</t>
  </si>
  <si>
    <t xml:space="preserve">Risk Tier</t>
  </si>
  <si>
    <t xml:space="preserve">Weighted Total Min</t>
  </si>
  <si>
    <t xml:space="preserve">SQL Correctness</t>
  </si>
  <si>
    <t xml:space="preserve">Result-Set Completeness</t>
  </si>
  <si>
    <t xml:space="preserve">Data Value Accuracy</t>
  </si>
  <si>
    <t xml:space="preserve">Low Risk</t>
  </si>
  <si>
    <t xml:space="preserve">&gt;=3.5 / 5.0 (Soft floor)</t>
  </si>
  <si>
    <t xml:space="preserve">&gt;=75% score 3+</t>
  </si>
  <si>
    <t xml:space="preserve">&gt;=70% score 3+</t>
  </si>
  <si>
    <t xml:space="preserve">Medium Risk</t>
  </si>
  <si>
    <t xml:space="preserve">&gt;=4.0 / 5.0 (Hard)</t>
  </si>
  <si>
    <t xml:space="preserve">&gt;=85% score 4+</t>
  </si>
  <si>
    <t xml:space="preserve">&gt;=80% score 4+</t>
  </si>
  <si>
    <t xml:space="preserve">High Risk</t>
  </si>
  <si>
    <t xml:space="preserve">&gt;=4.2 / 5.0 (Hard)</t>
  </si>
  <si>
    <t xml:space="preserve">&gt;=90% score 4+</t>
  </si>
  <si>
    <t xml:space="preserve">LAYER 2 WEIGHTED SCORECARD — Single space (not a comparative evaluation)</t>
  </si>
  <si>
    <t xml:space="preserve">Dimension</t>
  </si>
  <si>
    <t xml:space="preserve">Weight</t>
  </si>
  <si>
    <t xml:space="preserve">Avg Score
(from Scoring tab)</t>
  </si>
  <si>
    <t xml:space="preserve">Weighted Score</t>
  </si>
  <si>
    <t xml:space="preserve">Threshold check
(% meeting floor)</t>
  </si>
  <si>
    <t xml:space="preserve">Threshold Status</t>
  </si>
  <si>
    <t xml:space="preserve">35%</t>
  </si>
  <si>
    <t xml:space="preserve">[Auto or enter PASS/FAIL]</t>
  </si>
  <si>
    <t xml:space="preserve">30%</t>
  </si>
  <si>
    <t xml:space="preserve">25%</t>
  </si>
  <si>
    <t xml:space="preserve">Policy &amp; Compliance (Gate)</t>
  </si>
  <si>
    <t xml:space="preserve">GATE</t>
  </si>
  <si>
    <t xml:space="preserve">PASS / FAIL</t>
  </si>
  <si>
    <t xml:space="preserve">—</t>
  </si>
  <si>
    <t xml:space="preserve">[Enter PASS / FAIL]</t>
  </si>
  <si>
    <t xml:space="preserve">TOTAL WEIGHTED SCORE (excl. gate)</t>
  </si>
  <si>
    <t xml:space="preserve">INTERPRETATION: Compare the Total Weighted Score against the minimum for your risk tier above. The space PASSES Layer 2 if: (1) the weighted total meets the tier minimum, AND (2) all per-dimension threshold checks pass, AND (3) there are zero Policy &amp; Compliance FAILs (at Medium and High risk). A space failing any hard threshold does not proceed to Layer 3 — diagnose root cause first.
Note: A high weighted total does not override a hard threshold failure or a Policy &amp; Compliance FAIL. Each check is independent.</t>
  </si>
  <si>
    <t xml:space="preserve">BEHAVIOURAL ANCHOR CARD — Keep visible while scoring</t>
  </si>
  <si>
    <t xml:space="preserve">Print this tab and keep it visible while scoring. Never score from memory. All score 1 responses MUST have a written note in the Notes column.</t>
  </si>
  <si>
    <t xml:space="preserve">Score</t>
  </si>
  <si>
    <t xml:space="preserve">Label</t>
  </si>
  <si>
    <t xml:space="preserve">5</t>
  </si>
  <si>
    <t xml:space="preserve">Excellent</t>
  </si>
  <si>
    <t xml:space="preserve">SQL is logically correct in every respect. Would return exactly the right data in all foreseeable cases.</t>
  </si>
  <si>
    <t xml:space="preserve">All expected rows are present. No unexpected rows. The result set is exactly what the question called for.</t>
  </si>
  <si>
    <t xml:space="preserve">Every value cross-checked as correct. No errors, wrong aggregations, or misleading figures.</t>
  </si>
  <si>
    <t xml:space="preserve">PASS — Fully compliant. Result returns only data the user is authorized to see. No policy exposure.</t>
  </si>
  <si>
    <t xml:space="preserve">4</t>
  </si>
  <si>
    <t xml:space="preserve">Good</t>
  </si>
  <si>
    <t xml:space="preserve">SQL is logically correct with one minor issue (e.g. unnecessary column, slightly verbose filter) that does not affect the result set.</t>
  </si>
  <si>
    <t xml:space="preserve">All key rows present. One or two minor rows may be missing or extra but the business conclusion from the result set is correct.</t>
  </si>
  <si>
    <t xml:space="preserve">Predominantly correct. One minor value discrepancy that does not change the business conclusion.</t>
  </si>
  <si>
    <t xml:space="preserve">PASS — Predominantly compliant. One minor gap that does not create legal or access control exposure.</t>
  </si>
  <si>
    <t xml:space="preserve">3</t>
  </si>
  <si>
    <t xml:space="preserve">Partial</t>
  </si>
  <si>
    <t xml:space="preserve">SQL has a meaningful error — a missing filter, wrong aggregation level, or join condition that could produce incorrect results in edge cases — but the main intent is recognizable.</t>
  </si>
  <si>
    <t xml:space="preserve">Result set captures the main answer but is missing a meaningful subset of rows, or includes unexpected rows, such that the user would need to investigate further.</t>
  </si>
  <si>
    <t xml:space="preserve">Mix of correct and incorrect values. The error is noticeable but does not make the whole result set wrong.</t>
  </si>
  <si>
    <t xml:space="preserve">FAIL — Noticeable compliance gap. Result includes data the user may not be authorized to see, or presents regulated data without required caveats. A Partial score here should be recorded as FAIL.</t>
  </si>
  <si>
    <t xml:space="preserve">2</t>
  </si>
  <si>
    <t xml:space="preserve">Poor</t>
  </si>
  <si>
    <t xml:space="preserve">SQL addresses a related but different question, or has a fundamental error that would produce wrong results systematically.</t>
  </si>
  <si>
    <t xml:space="preserve">Result set is substantially incomplete or contaminated — a user acting on it would likely reach a wrong conclusion.</t>
  </si>
  <si>
    <t xml:space="preserve">Predominantly incorrect. The values would lead the user to a wrong conclusion if acted upon.</t>
  </si>
  <si>
    <t xml:space="preserve">FAIL — Clear policy non-compliance. Result returns restricted data or violates data access boundary.</t>
  </si>
  <si>
    <t xml:space="preserve">1</t>
  </si>
  <si>
    <t xml:space="preserve">Fail</t>
  </si>
  <si>
    <t xml:space="preserve">SQL answers a completely different question, or would produce no results or dangerous results if run against live data.</t>
  </si>
  <si>
    <t xml:space="preserve">Result set is entirely wrong — wrong rows, wrong counts, or empty when data should exist.</t>
  </si>
  <si>
    <t xml:space="preserve">Entirely incorrect. Acting on these values would cause material harm or a compliance event.</t>
  </si>
  <si>
    <t xml:space="preserve">FAIL — Direct policy violation. Result exposes data that must never be accessible to this user role. Always FLAG with a written description.</t>
  </si>
  <si>
    <t xml:space="preserve">NOTE ON POLICY &amp; COMPLIANCE: This dimension is scored PASS or FAIL only — it is a gate, not a 1-5 scale. Use the anchor descriptions above to determine pass or fail. A single FAIL at Medium or High risk tier disqualifies the space regardless of all other scores. Any FAIL must be accompanied by a written description in the Notes column of the Scoring tab.</t>
  </si>
</sst>
</file>

<file path=xl/styles.xml><?xml version="1.0" encoding="utf-8"?>
<styleSheet xmlns="http://schemas.openxmlformats.org/spreadsheetml/2006/main">
  <numFmts count="2">
    <numFmt numFmtId="164" formatCode="General"/>
    <numFmt numFmtId="165" formatCode="General"/>
  </numFmts>
  <fonts count="17">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FFFFFF"/>
      <name val="Arial"/>
      <family val="0"/>
      <charset val="1"/>
    </font>
    <font>
      <b val="true"/>
      <sz val="10"/>
      <color rgb="FF1F5C99"/>
      <name val="Arial"/>
      <family val="0"/>
      <charset val="1"/>
    </font>
    <font>
      <sz val="10"/>
      <color rgb="FF1A1A1A"/>
      <name val="Arial"/>
      <family val="0"/>
      <charset val="1"/>
    </font>
    <font>
      <b val="true"/>
      <sz val="10"/>
      <color rgb="FFFFFFFF"/>
      <name val="Arial"/>
      <family val="0"/>
      <charset val="1"/>
    </font>
    <font>
      <b val="true"/>
      <sz val="10"/>
      <color rgb="FF7B1A1A"/>
      <name val="Arial"/>
      <family val="0"/>
      <charset val="1"/>
    </font>
    <font>
      <b val="true"/>
      <sz val="13"/>
      <color rgb="FFFFFFFF"/>
      <name val="Arial"/>
      <family val="0"/>
      <charset val="1"/>
    </font>
    <font>
      <b val="true"/>
      <sz val="10"/>
      <color rgb="FF1A1A1A"/>
      <name val="Arial"/>
      <family val="0"/>
      <charset val="1"/>
    </font>
    <font>
      <i val="true"/>
      <sz val="10"/>
      <color rgb="FF1A1A1A"/>
      <name val="Arial"/>
      <family val="0"/>
      <charset val="1"/>
    </font>
    <font>
      <i val="true"/>
      <sz val="10"/>
      <color rgb="FF595959"/>
      <name val="Arial"/>
      <family val="0"/>
      <charset val="1"/>
    </font>
    <font>
      <b val="true"/>
      <sz val="9"/>
      <color rgb="FFFFFFFF"/>
      <name val="Arial"/>
      <family val="0"/>
      <charset val="1"/>
    </font>
    <font>
      <b val="true"/>
      <sz val="11"/>
      <color rgb="FF1F5C99"/>
      <name val="Arial"/>
      <family val="0"/>
      <charset val="1"/>
    </font>
    <font>
      <i val="true"/>
      <sz val="10"/>
      <color rgb="FF7B1A1A"/>
      <name val="Arial"/>
      <family val="0"/>
      <charset val="1"/>
    </font>
  </fonts>
  <fills count="12">
    <fill>
      <patternFill patternType="none"/>
    </fill>
    <fill>
      <patternFill patternType="gray125"/>
    </fill>
    <fill>
      <patternFill patternType="solid">
        <fgColor rgb="FF1F5C99"/>
        <bgColor rgb="FF2E75B6"/>
      </patternFill>
    </fill>
    <fill>
      <patternFill patternType="solid">
        <fgColor rgb="FF2E75B6"/>
        <bgColor rgb="FF1F5C99"/>
      </patternFill>
    </fill>
    <fill>
      <patternFill patternType="solid">
        <fgColor rgb="FFEEF3FA"/>
        <bgColor rgb="FFF5F5F5"/>
      </patternFill>
    </fill>
    <fill>
      <patternFill patternType="solid">
        <fgColor rgb="FFFFFFFF"/>
        <bgColor rgb="FFF5F5F5"/>
      </patternFill>
    </fill>
    <fill>
      <patternFill patternType="solid">
        <fgColor rgb="FF7B1A1A"/>
        <bgColor rgb="FF800000"/>
      </patternFill>
    </fill>
    <fill>
      <patternFill patternType="solid">
        <fgColor rgb="FFFFD966"/>
        <bgColor rgb="FFFFCC00"/>
      </patternFill>
    </fill>
    <fill>
      <patternFill patternType="solid">
        <fgColor rgb="FFF5F5F5"/>
        <bgColor rgb="FFEEF3FA"/>
      </patternFill>
    </fill>
    <fill>
      <patternFill patternType="solid">
        <fgColor rgb="FFFFF8E1"/>
        <bgColor rgb="FFF5F5F5"/>
      </patternFill>
    </fill>
    <fill>
      <patternFill patternType="solid">
        <fgColor rgb="FFE8F5E9"/>
        <bgColor rgb="FFEEF3FA"/>
      </patternFill>
    </fill>
    <fill>
      <patternFill patternType="solid">
        <fgColor rgb="FFFDECEA"/>
        <bgColor rgb="FFF5F5F5"/>
      </patternFill>
    </fill>
  </fills>
  <borders count="7">
    <border diagonalUp="false" diagonalDown="false">
      <left/>
      <right/>
      <top/>
      <bottom/>
      <diagonal/>
    </border>
    <border diagonalUp="false" diagonalDown="false">
      <left style="thin">
        <color rgb="FF2E75B6"/>
      </left>
      <right/>
      <top style="thin">
        <color rgb="FF2E75B6"/>
      </top>
      <bottom style="thin">
        <color rgb="FF2E75B6"/>
      </bottom>
      <diagonal/>
    </border>
    <border diagonalUp="false" diagonalDown="false">
      <left style="thin">
        <color rgb="FFDDDDDD"/>
      </left>
      <right style="thin">
        <color rgb="FFDDDDDD"/>
      </right>
      <top style="thin">
        <color rgb="FFDDDDDD"/>
      </top>
      <bottom style="thin">
        <color rgb="FFDDDDDD"/>
      </bottom>
      <diagonal/>
    </border>
    <border diagonalUp="false" diagonalDown="false">
      <left style="thin">
        <color rgb="FFDDDDDD"/>
      </left>
      <right/>
      <top style="thin">
        <color rgb="FFDDDDDD"/>
      </top>
      <bottom style="thin">
        <color rgb="FFDDDDDD"/>
      </bottom>
      <diagonal/>
    </border>
    <border diagonalUp="false" diagonalDown="false">
      <left style="thin">
        <color rgb="FF2E75B6"/>
      </left>
      <right style="thin">
        <color rgb="FF2E75B6"/>
      </right>
      <top style="thin">
        <color rgb="FF2E75B6"/>
      </top>
      <bottom style="thin">
        <color rgb="FF2E75B6"/>
      </bottom>
      <diagonal/>
    </border>
    <border diagonalUp="false" diagonalDown="false">
      <left style="thin">
        <color rgb="FF856404"/>
      </left>
      <right style="thin">
        <color rgb="FF856404"/>
      </right>
      <top style="thin">
        <color rgb="FF856404"/>
      </top>
      <bottom style="thin">
        <color rgb="FF856404"/>
      </bottom>
      <diagonal/>
    </border>
    <border diagonalUp="false" diagonalDown="false">
      <left style="thin">
        <color rgb="FF7B1A1A"/>
      </left>
      <right style="thin">
        <color rgb="FF7B1A1A"/>
      </right>
      <top style="thin">
        <color rgb="FF7B1A1A"/>
      </top>
      <bottom style="thin">
        <color rgb="FF7B1A1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false" indent="0" shrinkToFit="false"/>
      <protection locked="true" hidden="false"/>
    </xf>
    <xf numFmtId="164" fontId="6" fillId="4" borderId="2" xfId="0" applyFont="true" applyBorder="true" applyAlignment="true" applyProtection="false">
      <alignment horizontal="left" vertical="top" textRotation="0" wrapText="true" indent="0" shrinkToFit="false"/>
      <protection locked="true" hidden="false"/>
    </xf>
    <xf numFmtId="164" fontId="7" fillId="5" borderId="2" xfId="0" applyFont="true" applyBorder="true" applyAlignment="true" applyProtection="false">
      <alignment horizontal="left" vertical="top" textRotation="0" wrapText="tru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4" fontId="6" fillId="4" borderId="2" xfId="0" applyFont="true" applyBorder="true" applyAlignment="true" applyProtection="false">
      <alignment horizontal="left" vertical="center" textRotation="0" wrapText="false" indent="0" shrinkToFit="false"/>
      <protection locked="true" hidden="false"/>
    </xf>
    <xf numFmtId="164" fontId="7" fillId="5" borderId="2" xfId="0" applyFont="true" applyBorder="true" applyAlignment="true" applyProtection="false">
      <alignment horizontal="left" vertical="center" textRotation="0" wrapText="false" indent="0" shrinkToFit="false"/>
      <protection locked="true" hidden="false"/>
    </xf>
    <xf numFmtId="164" fontId="8" fillId="6" borderId="3" xfId="0" applyFont="true" applyBorder="true" applyAlignment="true" applyProtection="false">
      <alignment horizontal="left" vertical="center" textRotation="0" wrapText="false" indent="0" shrinkToFit="false"/>
      <protection locked="true" hidden="false"/>
    </xf>
    <xf numFmtId="164" fontId="9" fillId="4" borderId="2" xfId="0" applyFont="true" applyBorder="true" applyAlignment="true" applyProtection="false">
      <alignment horizontal="left" vertical="top" textRotation="0" wrapText="true" indent="0" shrinkToFit="false"/>
      <protection locked="true" hidden="false"/>
    </xf>
    <xf numFmtId="164" fontId="10" fillId="2" borderId="0" xfId="0" applyFont="true" applyBorder="true" applyAlignment="true" applyProtection="false">
      <alignment horizontal="left" vertical="center" textRotation="0" wrapText="false" indent="0" shrinkToFit="false"/>
      <protection locked="true" hidden="false"/>
    </xf>
    <xf numFmtId="164" fontId="7" fillId="4" borderId="0" xfId="0" applyFont="true" applyBorder="true" applyAlignment="true" applyProtection="false">
      <alignment horizontal="left" vertical="top" textRotation="0" wrapText="true" indent="0" shrinkToFit="false"/>
      <protection locked="true" hidden="false"/>
    </xf>
    <xf numFmtId="164" fontId="8" fillId="2" borderId="4" xfId="0" applyFont="true" applyBorder="true" applyAlignment="true" applyProtection="false">
      <alignment horizontal="center" vertical="center" textRotation="0" wrapText="true" indent="0" shrinkToFit="false"/>
      <protection locked="true" hidden="false"/>
    </xf>
    <xf numFmtId="164" fontId="11" fillId="5" borderId="2" xfId="0" applyFont="true" applyBorder="true" applyAlignment="true" applyProtection="false">
      <alignment horizontal="left" vertical="top" textRotation="0" wrapText="true" indent="0" shrinkToFit="false"/>
      <protection locked="true" hidden="false"/>
    </xf>
    <xf numFmtId="164" fontId="7" fillId="7" borderId="2" xfId="0" applyFont="true" applyBorder="true" applyAlignment="true" applyProtection="false">
      <alignment horizontal="center" vertical="center" textRotation="0" wrapText="true" indent="0" shrinkToFit="false"/>
      <protection locked="true" hidden="false"/>
    </xf>
    <xf numFmtId="164" fontId="11" fillId="8" borderId="2" xfId="0" applyFont="true" applyBorder="true" applyAlignment="true" applyProtection="false">
      <alignment horizontal="left" vertical="top" textRotation="0" wrapText="true" indent="0" shrinkToFit="false"/>
      <protection locked="true" hidden="false"/>
    </xf>
    <xf numFmtId="164" fontId="7" fillId="8" borderId="2" xfId="0" applyFont="true" applyBorder="true" applyAlignment="true" applyProtection="false">
      <alignment horizontal="left" vertical="top" textRotation="0" wrapText="true" indent="0" shrinkToFit="false"/>
      <protection locked="true" hidden="false"/>
    </xf>
    <xf numFmtId="164" fontId="11" fillId="4" borderId="0" xfId="0" applyFont="true" applyBorder="true" applyAlignment="true" applyProtection="false">
      <alignment horizontal="left" vertical="center" textRotation="0" wrapText="false" indent="0" shrinkToFit="false"/>
      <protection locked="true" hidden="false"/>
    </xf>
    <xf numFmtId="164" fontId="12" fillId="9" borderId="5" xfId="0" applyFont="true" applyBorder="true" applyAlignment="true" applyProtection="false">
      <alignment horizontal="left" vertical="top" textRotation="0" wrapText="true" indent="0" shrinkToFit="false"/>
      <protection locked="true" hidden="false"/>
    </xf>
    <xf numFmtId="164" fontId="6" fillId="5" borderId="2" xfId="0" applyFont="true" applyBorder="true" applyAlignment="true" applyProtection="false">
      <alignment horizontal="left" vertical="top" textRotation="0" wrapText="true" indent="0" shrinkToFit="false"/>
      <protection locked="true" hidden="false"/>
    </xf>
    <xf numFmtId="164" fontId="13" fillId="5" borderId="2" xfId="0" applyFont="true" applyBorder="true" applyAlignment="true" applyProtection="false">
      <alignment horizontal="left" vertical="top" textRotation="0" wrapText="true" indent="0" shrinkToFit="false"/>
      <protection locked="true" hidden="false"/>
    </xf>
    <xf numFmtId="164" fontId="7" fillId="10" borderId="2" xfId="0" applyFont="true" applyBorder="true" applyAlignment="true" applyProtection="false">
      <alignment horizontal="center" vertical="center" textRotation="0" wrapText="true" indent="0" shrinkToFit="false"/>
      <protection locked="true" hidden="false"/>
    </xf>
    <xf numFmtId="164" fontId="6" fillId="8" borderId="2" xfId="0" applyFont="true" applyBorder="true" applyAlignment="true" applyProtection="false">
      <alignment horizontal="left" vertical="top" textRotation="0" wrapText="true" indent="0" shrinkToFit="false"/>
      <protection locked="true" hidden="false"/>
    </xf>
    <xf numFmtId="164" fontId="13" fillId="8" borderId="2" xfId="0" applyFont="true" applyBorder="true" applyAlignment="true" applyProtection="false">
      <alignment horizontal="left" vertical="top" textRotation="0" wrapText="true" indent="0" shrinkToFit="false"/>
      <protection locked="true" hidden="false"/>
    </xf>
    <xf numFmtId="164" fontId="12" fillId="4" borderId="0" xfId="0" applyFont="true" applyBorder="true" applyAlignment="true" applyProtection="false">
      <alignment horizontal="left" vertical="top" textRotation="0" wrapText="true" indent="0" shrinkToFit="false"/>
      <protection locked="true" hidden="false"/>
    </xf>
    <xf numFmtId="164" fontId="8" fillId="3" borderId="0" xfId="0" applyFont="true" applyBorder="true" applyAlignment="true" applyProtection="false">
      <alignment horizontal="left" vertical="center" textRotation="0" wrapText="false" indent="0" shrinkToFit="false"/>
      <protection locked="true" hidden="false"/>
    </xf>
    <xf numFmtId="164" fontId="14" fillId="2" borderId="4" xfId="0" applyFont="true" applyBorder="true" applyAlignment="true" applyProtection="false">
      <alignment horizontal="center" vertical="center" textRotation="0" wrapText="true" indent="0" shrinkToFit="false"/>
      <protection locked="true" hidden="false"/>
    </xf>
    <xf numFmtId="164" fontId="0" fillId="2" borderId="4" xfId="0" applyFont="false" applyBorder="true" applyAlignment="true" applyProtection="false">
      <alignment horizontal="general" vertical="bottom" textRotation="0" wrapText="false" indent="0" shrinkToFit="false"/>
      <protection locked="true" hidden="false"/>
    </xf>
    <xf numFmtId="164" fontId="7" fillId="5" borderId="2" xfId="0" applyFont="true" applyBorder="true" applyAlignment="true" applyProtection="false">
      <alignment horizontal="center" vertical="center" textRotation="0" wrapText="false" indent="0" shrinkToFit="false"/>
      <protection locked="true" hidden="false"/>
    </xf>
    <xf numFmtId="164" fontId="0" fillId="5" borderId="2" xfId="0" applyFont="false" applyBorder="true" applyAlignment="true" applyProtection="false">
      <alignment horizontal="general" vertical="bottom" textRotation="0" wrapText="false" indent="0" shrinkToFit="false"/>
      <protection locked="true" hidden="false"/>
    </xf>
    <xf numFmtId="164" fontId="7" fillId="8" borderId="2" xfId="0" applyFont="true" applyBorder="true" applyAlignment="true" applyProtection="false">
      <alignment horizontal="center" vertical="center" textRotation="0" wrapText="false" indent="0" shrinkToFit="false"/>
      <protection locked="true" hidden="false"/>
    </xf>
    <xf numFmtId="164" fontId="0" fillId="8" borderId="2" xfId="0" applyFont="false" applyBorder="true" applyAlignment="true" applyProtection="false">
      <alignment horizontal="general" vertical="bottom" textRotation="0" wrapText="false" indent="0" shrinkToFit="false"/>
      <protection locked="true" hidden="false"/>
    </xf>
    <xf numFmtId="164" fontId="11" fillId="5" borderId="2" xfId="0" applyFont="true" applyBorder="true" applyAlignment="true" applyProtection="false">
      <alignment horizontal="left" vertical="center" textRotation="0" wrapText="false" indent="0" shrinkToFit="false"/>
      <protection locked="true" hidden="false"/>
    </xf>
    <xf numFmtId="164" fontId="7" fillId="7" borderId="2" xfId="0" applyFont="true" applyBorder="true" applyAlignment="true" applyProtection="false">
      <alignment horizontal="center" vertical="center" textRotation="0" wrapText="false" indent="0" shrinkToFit="false"/>
      <protection locked="true" hidden="false"/>
    </xf>
    <xf numFmtId="164" fontId="13" fillId="7" borderId="2" xfId="0" applyFont="true" applyBorder="true" applyAlignment="true" applyProtection="false">
      <alignment horizontal="center" vertical="center" textRotation="0" wrapText="false" indent="0" shrinkToFit="false"/>
      <protection locked="true" hidden="false"/>
    </xf>
    <xf numFmtId="164" fontId="11" fillId="8" borderId="2" xfId="0" applyFont="true" applyBorder="true" applyAlignment="true" applyProtection="false">
      <alignment horizontal="left" vertical="center" textRotation="0" wrapText="false" indent="0" shrinkToFit="false"/>
      <protection locked="true" hidden="false"/>
    </xf>
    <xf numFmtId="164" fontId="11" fillId="10" borderId="2" xfId="0" applyFont="true" applyBorder="true" applyAlignment="true" applyProtection="false">
      <alignment horizontal="left" vertical="center" textRotation="0" wrapText="false" indent="0" shrinkToFit="false"/>
      <protection locked="true" hidden="false"/>
    </xf>
    <xf numFmtId="164" fontId="7" fillId="10" borderId="2" xfId="0" applyFont="true" applyBorder="true" applyAlignment="true" applyProtection="false">
      <alignment horizontal="center" vertical="center" textRotation="0" wrapText="false" indent="0" shrinkToFit="false"/>
      <protection locked="true" hidden="false"/>
    </xf>
    <xf numFmtId="164" fontId="6" fillId="4" borderId="4" xfId="0" applyFont="true" applyBorder="true" applyAlignment="true" applyProtection="false">
      <alignment horizontal="left" vertical="center" textRotation="0" wrapText="false" indent="0" shrinkToFit="false"/>
      <protection locked="true" hidden="false"/>
    </xf>
    <xf numFmtId="164" fontId="0" fillId="4" borderId="4" xfId="0" applyFont="false" applyBorder="true" applyAlignment="true" applyProtection="false">
      <alignment horizontal="center" vertical="center" textRotation="0" wrapText="false" indent="0" shrinkToFit="false"/>
      <protection locked="true" hidden="false"/>
    </xf>
    <xf numFmtId="165" fontId="15" fillId="4" borderId="4" xfId="0" applyFont="true" applyBorder="true" applyAlignment="true" applyProtection="false">
      <alignment horizontal="center" vertical="center" textRotation="0" wrapText="false" indent="0" shrinkToFit="false"/>
      <protection locked="true" hidden="false"/>
    </xf>
    <xf numFmtId="164" fontId="7" fillId="9" borderId="5" xfId="0" applyFont="true" applyBorder="true" applyAlignment="true" applyProtection="false">
      <alignment horizontal="left" vertical="top" textRotation="0" wrapText="true" indent="0" shrinkToFit="false"/>
      <protection locked="true" hidden="false"/>
    </xf>
    <xf numFmtId="164" fontId="12" fillId="9" borderId="0" xfId="0" applyFont="true" applyBorder="true" applyAlignment="true" applyProtection="false">
      <alignment horizontal="left" vertical="center" textRotation="0" wrapText="false" indent="0" shrinkToFit="false"/>
      <protection locked="true" hidden="false"/>
    </xf>
    <xf numFmtId="164" fontId="11" fillId="5" borderId="2" xfId="0" applyFont="true" applyBorder="true" applyAlignment="true" applyProtection="false">
      <alignment horizontal="center" vertical="top" textRotation="0" wrapText="true" indent="0" shrinkToFit="false"/>
      <protection locked="true" hidden="false"/>
    </xf>
    <xf numFmtId="164" fontId="11" fillId="8" borderId="2" xfId="0" applyFont="true" applyBorder="true" applyAlignment="true" applyProtection="false">
      <alignment horizontal="center" vertical="top" textRotation="0" wrapText="true" indent="0" shrinkToFit="false"/>
      <protection locked="true" hidden="false"/>
    </xf>
    <xf numFmtId="164" fontId="16" fillId="11" borderId="6"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7B1A1A"/>
      <rgbColor rgb="FF008000"/>
      <rgbColor rgb="FF000080"/>
      <rgbColor rgb="FF856404"/>
      <rgbColor rgb="FF800080"/>
      <rgbColor rgb="FF008080"/>
      <rgbColor rgb="FFC0C0C0"/>
      <rgbColor rgb="FF808080"/>
      <rgbColor rgb="FF9999FF"/>
      <rgbColor rgb="FF993366"/>
      <rgbColor rgb="FFFFF8E1"/>
      <rgbColor rgb="FFE8F5E9"/>
      <rgbColor rgb="FF660066"/>
      <rgbColor rgb="FFFF8080"/>
      <rgbColor rgb="FF1F5C99"/>
      <rgbColor rgb="FFDDDDDD"/>
      <rgbColor rgb="FF000080"/>
      <rgbColor rgb="FFFF00FF"/>
      <rgbColor rgb="FFFFFF00"/>
      <rgbColor rgb="FF00FFFF"/>
      <rgbColor rgb="FF800080"/>
      <rgbColor rgb="FF800000"/>
      <rgbColor rgb="FF008080"/>
      <rgbColor rgb="FF0000FF"/>
      <rgbColor rgb="FF00CCFF"/>
      <rgbColor rgb="FFEEF3FA"/>
      <rgbColor rgb="FFF5F5F5"/>
      <rgbColor rgb="FFFDECEA"/>
      <rgbColor rgb="FF99CCFF"/>
      <rgbColor rgb="FFFF99CC"/>
      <rgbColor rgb="FFCC99FF"/>
      <rgbColor rgb="FFFFD966"/>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90"/>
  </cols>
  <sheetData>
    <row r="1" customFormat="false" ht="30" hidden="false" customHeight="true" outlineLevel="0" collapsed="false">
      <c r="A1" s="2" t="s">
        <v>0</v>
      </c>
      <c r="B1" s="2"/>
    </row>
    <row r="2" customFormat="false" ht="18" hidden="false" customHeight="true" outlineLevel="0" collapsed="false">
      <c r="A2" s="3" t="s">
        <v>1</v>
      </c>
      <c r="B2" s="3"/>
    </row>
    <row r="3" customFormat="false" ht="7.5" hidden="false" customHeight="true" outlineLevel="0" collapsed="false"/>
    <row r="4" customFormat="false" ht="78.75" hidden="false" customHeight="true" outlineLevel="0" collapsed="false">
      <c r="A4" s="4" t="s">
        <v>2</v>
      </c>
      <c r="B4" s="5" t="s">
        <v>3</v>
      </c>
      <c r="C4" s="5"/>
      <c r="D4" s="5"/>
      <c r="E4" s="5"/>
      <c r="F4" s="5"/>
      <c r="G4" s="5"/>
      <c r="H4" s="5"/>
      <c r="I4" s="5"/>
      <c r="J4" s="5"/>
    </row>
    <row r="5" customFormat="false" ht="99.75" hidden="false" customHeight="true" outlineLevel="0" collapsed="false">
      <c r="A5" s="4" t="s">
        <v>4</v>
      </c>
      <c r="B5" s="5" t="s">
        <v>5</v>
      </c>
      <c r="C5" s="5"/>
      <c r="D5" s="5"/>
      <c r="E5" s="5"/>
      <c r="F5" s="5"/>
      <c r="G5" s="5"/>
      <c r="H5" s="5"/>
      <c r="I5" s="5"/>
      <c r="J5" s="5"/>
    </row>
    <row r="6" customFormat="false" ht="40.5" hidden="false" customHeight="true" outlineLevel="0" collapsed="false">
      <c r="A6" s="4" t="s">
        <v>6</v>
      </c>
      <c r="B6" s="5" t="s">
        <v>7</v>
      </c>
      <c r="C6" s="5"/>
      <c r="D6" s="5"/>
      <c r="E6" s="5"/>
      <c r="F6" s="5"/>
      <c r="G6" s="5"/>
      <c r="H6" s="5"/>
      <c r="I6" s="5"/>
      <c r="J6" s="5"/>
    </row>
    <row r="7" customFormat="false" ht="39.75" hidden="false" customHeight="true" outlineLevel="0" collapsed="false">
      <c r="A7" s="4" t="s">
        <v>8</v>
      </c>
      <c r="B7" s="5" t="s">
        <v>9</v>
      </c>
      <c r="C7" s="5"/>
      <c r="D7" s="5"/>
      <c r="E7" s="5"/>
      <c r="F7" s="5"/>
      <c r="G7" s="5"/>
      <c r="H7" s="5"/>
      <c r="I7" s="5"/>
      <c r="J7" s="5"/>
    </row>
    <row r="8" customFormat="false" ht="40.5" hidden="false" customHeight="true" outlineLevel="0" collapsed="false">
      <c r="A8" s="4" t="s">
        <v>10</v>
      </c>
      <c r="B8" s="5" t="s">
        <v>11</v>
      </c>
      <c r="C8" s="5"/>
      <c r="D8" s="5"/>
      <c r="E8" s="5"/>
      <c r="F8" s="5"/>
      <c r="G8" s="5"/>
      <c r="H8" s="5"/>
      <c r="I8" s="5"/>
      <c r="J8" s="5"/>
    </row>
    <row r="9" customFormat="false" ht="64.5" hidden="false" customHeight="true" outlineLevel="0" collapsed="false">
      <c r="A9" s="4" t="s">
        <v>12</v>
      </c>
      <c r="B9" s="5" t="s">
        <v>13</v>
      </c>
      <c r="C9" s="5"/>
      <c r="D9" s="5"/>
      <c r="E9" s="5"/>
      <c r="F9" s="5"/>
      <c r="G9" s="5"/>
      <c r="H9" s="5"/>
      <c r="I9" s="5"/>
      <c r="J9" s="5"/>
    </row>
    <row r="10" customFormat="false" ht="39.75" hidden="false" customHeight="true" outlineLevel="0" collapsed="false">
      <c r="A10" s="4" t="s">
        <v>14</v>
      </c>
      <c r="B10" s="5" t="s">
        <v>15</v>
      </c>
      <c r="C10" s="5"/>
      <c r="D10" s="5"/>
      <c r="E10" s="5"/>
      <c r="F10" s="5"/>
      <c r="G10" s="5"/>
      <c r="H10" s="5"/>
      <c r="I10" s="5"/>
      <c r="J10" s="5"/>
    </row>
    <row r="11" customFormat="false" ht="66" hidden="false" customHeight="true" outlineLevel="0" collapsed="false">
      <c r="A11" s="4" t="s">
        <v>16</v>
      </c>
      <c r="B11" s="5" t="s">
        <v>17</v>
      </c>
      <c r="C11" s="5"/>
      <c r="D11" s="5"/>
      <c r="E11" s="5"/>
      <c r="F11" s="5"/>
      <c r="G11" s="5"/>
      <c r="H11" s="5"/>
      <c r="I11" s="5"/>
      <c r="J11" s="5"/>
    </row>
    <row r="12" customFormat="false" ht="39.75" hidden="false" customHeight="true" outlineLevel="0" collapsed="false">
      <c r="A12" s="4" t="s">
        <v>18</v>
      </c>
      <c r="B12" s="5" t="s">
        <v>19</v>
      </c>
      <c r="C12" s="5"/>
      <c r="D12" s="5"/>
      <c r="E12" s="5"/>
      <c r="F12" s="5"/>
      <c r="G12" s="5"/>
      <c r="H12" s="5"/>
      <c r="I12" s="5"/>
      <c r="J12" s="5"/>
    </row>
    <row r="13" customFormat="false" ht="96" hidden="false" customHeight="true" outlineLevel="0" collapsed="false">
      <c r="A13" s="4" t="s">
        <v>20</v>
      </c>
      <c r="B13" s="5" t="s">
        <v>21</v>
      </c>
      <c r="C13" s="5"/>
      <c r="D13" s="5"/>
      <c r="E13" s="5"/>
      <c r="F13" s="5"/>
      <c r="G13" s="5"/>
      <c r="H13" s="5"/>
      <c r="I13" s="5"/>
      <c r="J13" s="5"/>
    </row>
    <row r="14" customFormat="false" ht="19.5" hidden="false" customHeight="true" outlineLevel="0" collapsed="false">
      <c r="A14" s="6" t="s">
        <v>22</v>
      </c>
      <c r="B14" s="6"/>
    </row>
    <row r="15" customFormat="false" ht="19.5" hidden="false" customHeight="true" outlineLevel="0" collapsed="false">
      <c r="A15" s="7" t="s">
        <v>23</v>
      </c>
      <c r="B15" s="8" t="s">
        <v>24</v>
      </c>
    </row>
    <row r="16" customFormat="false" ht="19.5" hidden="false" customHeight="true" outlineLevel="0" collapsed="false">
      <c r="A16" s="7" t="s">
        <v>25</v>
      </c>
      <c r="B16" s="8" t="s">
        <v>26</v>
      </c>
    </row>
    <row r="17" customFormat="false" ht="19.5" hidden="false" customHeight="true" outlineLevel="0" collapsed="false">
      <c r="A17" s="7" t="s">
        <v>27</v>
      </c>
      <c r="B17" s="8" t="s">
        <v>28</v>
      </c>
    </row>
    <row r="18" customFormat="false" ht="19.5" hidden="false" customHeight="true" outlineLevel="0" collapsed="false">
      <c r="A18" s="7" t="s">
        <v>29</v>
      </c>
      <c r="B18" s="8" t="s">
        <v>30</v>
      </c>
    </row>
    <row r="19" customFormat="false" ht="19.5" hidden="false" customHeight="true" outlineLevel="0" collapsed="false">
      <c r="A19" s="7" t="s">
        <v>31</v>
      </c>
      <c r="B19" s="8" t="s">
        <v>32</v>
      </c>
    </row>
    <row r="21" customFormat="false" ht="15" hidden="false" customHeight="true" outlineLevel="0" collapsed="false">
      <c r="A21" s="9" t="s">
        <v>33</v>
      </c>
      <c r="B21" s="9"/>
    </row>
    <row r="22" customFormat="false" ht="30" hidden="false" customHeight="true" outlineLevel="0" collapsed="false">
      <c r="A22" s="10" t="s">
        <v>34</v>
      </c>
      <c r="B22" s="5" t="s">
        <v>35</v>
      </c>
      <c r="C22" s="5"/>
      <c r="D22" s="5"/>
      <c r="E22" s="5"/>
      <c r="F22" s="5"/>
      <c r="G22" s="5"/>
      <c r="H22" s="5"/>
      <c r="I22" s="5"/>
      <c r="J22" s="5"/>
    </row>
    <row r="23" customFormat="false" ht="30" hidden="false" customHeight="true" outlineLevel="0" collapsed="false">
      <c r="A23" s="10" t="s">
        <v>36</v>
      </c>
      <c r="B23" s="5" t="s">
        <v>37</v>
      </c>
      <c r="C23" s="5"/>
      <c r="D23" s="5"/>
      <c r="E23" s="5"/>
      <c r="F23" s="5"/>
      <c r="G23" s="5"/>
      <c r="H23" s="5"/>
      <c r="I23" s="5"/>
      <c r="J23" s="5"/>
    </row>
    <row r="24" customFormat="false" ht="30" hidden="false" customHeight="true" outlineLevel="0" collapsed="false">
      <c r="A24" s="10" t="s">
        <v>38</v>
      </c>
      <c r="B24" s="5" t="s">
        <v>39</v>
      </c>
      <c r="C24" s="5"/>
      <c r="D24" s="5"/>
      <c r="E24" s="5"/>
      <c r="F24" s="5"/>
      <c r="G24" s="5"/>
      <c r="H24" s="5"/>
      <c r="I24" s="5"/>
      <c r="J24" s="5"/>
    </row>
    <row r="25" customFormat="false" ht="30" hidden="false" customHeight="true" outlineLevel="0" collapsed="false">
      <c r="A25" s="10" t="s">
        <v>40</v>
      </c>
      <c r="B25" s="5" t="s">
        <v>41</v>
      </c>
      <c r="C25" s="5"/>
      <c r="D25" s="5"/>
      <c r="E25" s="5"/>
      <c r="F25" s="5"/>
      <c r="G25" s="5"/>
      <c r="H25" s="5"/>
      <c r="I25" s="5"/>
      <c r="J25" s="5"/>
    </row>
    <row r="26" customFormat="false" ht="30" hidden="false" customHeight="true" outlineLevel="0" collapsed="false">
      <c r="A26" s="10" t="s">
        <v>42</v>
      </c>
      <c r="B26" s="5" t="s">
        <v>43</v>
      </c>
      <c r="C26" s="5"/>
      <c r="D26" s="5"/>
      <c r="E26" s="5"/>
      <c r="F26" s="5"/>
      <c r="G26" s="5"/>
      <c r="H26" s="5"/>
      <c r="I26" s="5"/>
      <c r="J26" s="5"/>
    </row>
    <row r="27" customFormat="false" ht="30" hidden="false" customHeight="true" outlineLevel="0" collapsed="false">
      <c r="A27" s="10" t="s">
        <v>44</v>
      </c>
      <c r="B27" s="5" t="s">
        <v>45</v>
      </c>
      <c r="C27" s="5"/>
      <c r="D27" s="5"/>
      <c r="E27" s="5"/>
      <c r="F27" s="5"/>
      <c r="G27" s="5"/>
      <c r="H27" s="5"/>
      <c r="I27" s="5"/>
      <c r="J27" s="5"/>
    </row>
  </sheetData>
  <mergeCells count="20">
    <mergeCell ref="A1:B1"/>
    <mergeCell ref="A2:B2"/>
    <mergeCell ref="B4:J4"/>
    <mergeCell ref="B5:J5"/>
    <mergeCell ref="B6:J6"/>
    <mergeCell ref="B7:J7"/>
    <mergeCell ref="B8:J8"/>
    <mergeCell ref="B9:J9"/>
    <mergeCell ref="B10:J10"/>
    <mergeCell ref="B11:J11"/>
    <mergeCell ref="B12:J12"/>
    <mergeCell ref="B13:J13"/>
    <mergeCell ref="A14:B14"/>
    <mergeCell ref="A21:B21"/>
    <mergeCell ref="B22:J22"/>
    <mergeCell ref="B23:J23"/>
    <mergeCell ref="B24:J24"/>
    <mergeCell ref="B25:J25"/>
    <mergeCell ref="B26:J26"/>
    <mergeCell ref="B27:J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45"/>
    <col collapsed="false" customWidth="true" hidden="false" outlineLevel="0" max="3" min="3" style="1" width="55"/>
    <col collapsed="false" customWidth="true" hidden="false" outlineLevel="0" max="4" min="4" style="1" width="12"/>
    <col collapsed="false" customWidth="true" hidden="false" outlineLevel="0" max="6" min="5" style="1" width="14"/>
    <col collapsed="false" customWidth="true" hidden="false" outlineLevel="0" max="7" min="7" style="1" width="30"/>
  </cols>
  <sheetData>
    <row r="1" customFormat="false" ht="30" hidden="false" customHeight="true" outlineLevel="0" collapsed="false">
      <c r="A1" s="11" t="s">
        <v>46</v>
      </c>
      <c r="B1" s="11"/>
      <c r="C1" s="11"/>
      <c r="D1" s="11"/>
      <c r="E1" s="11"/>
      <c r="F1" s="11"/>
      <c r="G1" s="11"/>
    </row>
    <row r="2" customFormat="false" ht="49.5" hidden="false" customHeight="true" outlineLevel="0" collapsed="false">
      <c r="A2" s="12" t="s">
        <v>47</v>
      </c>
      <c r="B2" s="12"/>
      <c r="C2" s="12"/>
      <c r="D2" s="12"/>
      <c r="E2" s="12"/>
      <c r="F2" s="12"/>
      <c r="G2" s="12"/>
    </row>
    <row r="3" customFormat="false" ht="39.75" hidden="false" customHeight="true" outlineLevel="0" collapsed="false">
      <c r="A3" s="13" t="s">
        <v>48</v>
      </c>
      <c r="B3" s="13" t="s">
        <v>49</v>
      </c>
      <c r="C3" s="13" t="s">
        <v>50</v>
      </c>
      <c r="D3" s="13" t="s">
        <v>51</v>
      </c>
      <c r="E3" s="13" t="s">
        <v>52</v>
      </c>
      <c r="F3" s="13" t="s">
        <v>53</v>
      </c>
      <c r="G3" s="13" t="s">
        <v>54</v>
      </c>
    </row>
    <row r="4" customFormat="false" ht="54.75" hidden="false" customHeight="true" outlineLevel="0" collapsed="false">
      <c r="A4" s="14" t="n">
        <v>1</v>
      </c>
      <c r="B4" s="5" t="s">
        <v>55</v>
      </c>
      <c r="C4" s="5" t="s">
        <v>56</v>
      </c>
      <c r="D4" s="15"/>
      <c r="E4" s="15"/>
      <c r="F4" s="15"/>
      <c r="G4" s="5"/>
    </row>
    <row r="5" customFormat="false" ht="54.75" hidden="false" customHeight="true" outlineLevel="0" collapsed="false">
      <c r="A5" s="16" t="n">
        <v>2</v>
      </c>
      <c r="B5" s="17" t="s">
        <v>57</v>
      </c>
      <c r="C5" s="17" t="s">
        <v>58</v>
      </c>
      <c r="D5" s="15"/>
      <c r="E5" s="15"/>
      <c r="F5" s="15"/>
      <c r="G5" s="17"/>
    </row>
    <row r="6" customFormat="false" ht="54.75" hidden="false" customHeight="true" outlineLevel="0" collapsed="false">
      <c r="A6" s="14" t="n">
        <v>3</v>
      </c>
      <c r="B6" s="5" t="s">
        <v>59</v>
      </c>
      <c r="C6" s="5" t="s">
        <v>60</v>
      </c>
      <c r="D6" s="15"/>
      <c r="E6" s="15"/>
      <c r="F6" s="15"/>
      <c r="G6" s="5"/>
    </row>
    <row r="7" customFormat="false" ht="54.75" hidden="false" customHeight="true" outlineLevel="0" collapsed="false">
      <c r="A7" s="16" t="n">
        <v>4</v>
      </c>
      <c r="B7" s="17" t="s">
        <v>61</v>
      </c>
      <c r="C7" s="17" t="s">
        <v>62</v>
      </c>
      <c r="D7" s="15"/>
      <c r="E7" s="15"/>
      <c r="F7" s="15"/>
      <c r="G7" s="17"/>
    </row>
    <row r="8" customFormat="false" ht="54.75" hidden="false" customHeight="true" outlineLevel="0" collapsed="false">
      <c r="A8" s="14" t="n">
        <v>5</v>
      </c>
      <c r="B8" s="5" t="s">
        <v>63</v>
      </c>
      <c r="C8" s="5" t="s">
        <v>64</v>
      </c>
      <c r="D8" s="15"/>
      <c r="E8" s="15"/>
      <c r="F8" s="15"/>
      <c r="G8" s="5"/>
    </row>
    <row r="9" customFormat="false" ht="54.75" hidden="false" customHeight="true" outlineLevel="0" collapsed="false">
      <c r="A9" s="16" t="n">
        <v>6</v>
      </c>
      <c r="B9" s="17" t="s">
        <v>65</v>
      </c>
      <c r="C9" s="17" t="s">
        <v>66</v>
      </c>
      <c r="D9" s="15"/>
      <c r="E9" s="15"/>
      <c r="F9" s="15"/>
      <c r="G9" s="17"/>
    </row>
    <row r="10" customFormat="false" ht="54.75" hidden="false" customHeight="true" outlineLevel="0" collapsed="false">
      <c r="A10" s="14" t="n">
        <v>7</v>
      </c>
      <c r="B10" s="5" t="s">
        <v>67</v>
      </c>
      <c r="C10" s="5" t="s">
        <v>68</v>
      </c>
      <c r="D10" s="15"/>
      <c r="E10" s="15"/>
      <c r="F10" s="15"/>
      <c r="G10" s="5"/>
    </row>
    <row r="11" customFormat="false" ht="54.75" hidden="false" customHeight="true" outlineLevel="0" collapsed="false">
      <c r="A11" s="16" t="n">
        <v>8</v>
      </c>
      <c r="B11" s="17" t="s">
        <v>69</v>
      </c>
      <c r="C11" s="17" t="s">
        <v>70</v>
      </c>
      <c r="D11" s="15"/>
      <c r="E11" s="15"/>
      <c r="F11" s="15"/>
      <c r="G11" s="17"/>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45"/>
    <col collapsed="false" customWidth="true" hidden="false" outlineLevel="0" max="4" min="3" style="1" width="50"/>
    <col collapsed="false" customWidth="true" hidden="false" outlineLevel="0" max="7" min="5" style="1" width="14"/>
    <col collapsed="false" customWidth="true" hidden="false" outlineLevel="0" max="8" min="8" style="1" width="18"/>
    <col collapsed="false" customWidth="true" hidden="false" outlineLevel="0" max="9" min="9" style="1" width="35"/>
  </cols>
  <sheetData>
    <row r="1" customFormat="false" ht="27.75" hidden="false" customHeight="true" outlineLevel="0" collapsed="false">
      <c r="A1" s="11" t="s">
        <v>71</v>
      </c>
      <c r="B1" s="11"/>
      <c r="C1" s="11"/>
      <c r="D1" s="11"/>
      <c r="E1" s="11"/>
      <c r="F1" s="11"/>
      <c r="G1" s="11"/>
      <c r="H1" s="11"/>
      <c r="I1" s="11"/>
    </row>
    <row r="2" customFormat="false" ht="21.75" hidden="false" customHeight="true" outlineLevel="0" collapsed="false">
      <c r="A2" s="18" t="s">
        <v>72</v>
      </c>
      <c r="B2" s="18"/>
      <c r="C2" s="18"/>
      <c r="D2" s="18"/>
      <c r="E2" s="18" t="s">
        <v>73</v>
      </c>
      <c r="F2" s="18"/>
      <c r="G2" s="18" t="s">
        <v>74</v>
      </c>
      <c r="H2" s="18"/>
      <c r="I2" s="18"/>
    </row>
    <row r="3" customFormat="false" ht="49.5" hidden="false" customHeight="true" outlineLevel="0" collapsed="false">
      <c r="A3" s="19" t="s">
        <v>75</v>
      </c>
      <c r="B3" s="19"/>
      <c r="C3" s="19"/>
      <c r="D3" s="19"/>
      <c r="E3" s="19"/>
      <c r="F3" s="19"/>
      <c r="G3" s="19"/>
      <c r="H3" s="19"/>
      <c r="I3" s="19"/>
    </row>
    <row r="4" customFormat="false" ht="49.5" hidden="false" customHeight="true" outlineLevel="0" collapsed="false">
      <c r="A4" s="13" t="s">
        <v>48</v>
      </c>
      <c r="B4" s="13" t="s">
        <v>76</v>
      </c>
      <c r="C4" s="13" t="s">
        <v>77</v>
      </c>
      <c r="D4" s="13" t="s">
        <v>78</v>
      </c>
      <c r="E4" s="13" t="s">
        <v>51</v>
      </c>
      <c r="F4" s="13" t="s">
        <v>52</v>
      </c>
      <c r="G4" s="13" t="s">
        <v>79</v>
      </c>
      <c r="H4" s="13" t="s">
        <v>53</v>
      </c>
      <c r="I4" s="13" t="s">
        <v>80</v>
      </c>
    </row>
    <row r="5" customFormat="false" ht="54.75" hidden="false" customHeight="true" outlineLevel="0" collapsed="false">
      <c r="A5" s="20" t="n">
        <v>1</v>
      </c>
      <c r="B5" s="21" t="s">
        <v>81</v>
      </c>
      <c r="C5" s="21" t="s">
        <v>82</v>
      </c>
      <c r="D5" s="21" t="s">
        <v>83</v>
      </c>
      <c r="E5" s="15"/>
      <c r="F5" s="15"/>
      <c r="G5" s="15"/>
      <c r="H5" s="22"/>
      <c r="I5" s="5"/>
    </row>
    <row r="6" customFormat="false" ht="54.75" hidden="false" customHeight="true" outlineLevel="0" collapsed="false">
      <c r="A6" s="23" t="n">
        <v>2</v>
      </c>
      <c r="B6" s="24" t="s">
        <v>81</v>
      </c>
      <c r="C6" s="24" t="s">
        <v>82</v>
      </c>
      <c r="D6" s="24" t="s">
        <v>83</v>
      </c>
      <c r="E6" s="15"/>
      <c r="F6" s="15"/>
      <c r="G6" s="15"/>
      <c r="H6" s="22"/>
      <c r="I6" s="17"/>
    </row>
    <row r="7" customFormat="false" ht="54.75" hidden="false" customHeight="true" outlineLevel="0" collapsed="false">
      <c r="A7" s="20" t="n">
        <v>3</v>
      </c>
      <c r="B7" s="21" t="s">
        <v>81</v>
      </c>
      <c r="C7" s="21" t="s">
        <v>82</v>
      </c>
      <c r="D7" s="21" t="s">
        <v>83</v>
      </c>
      <c r="E7" s="15"/>
      <c r="F7" s="15"/>
      <c r="G7" s="15"/>
      <c r="H7" s="22"/>
      <c r="I7" s="5"/>
    </row>
    <row r="8" customFormat="false" ht="54.75" hidden="false" customHeight="true" outlineLevel="0" collapsed="false">
      <c r="A8" s="23" t="n">
        <v>4</v>
      </c>
      <c r="B8" s="24" t="s">
        <v>81</v>
      </c>
      <c r="C8" s="24" t="s">
        <v>82</v>
      </c>
      <c r="D8" s="24" t="s">
        <v>83</v>
      </c>
      <c r="E8" s="15"/>
      <c r="F8" s="15"/>
      <c r="G8" s="15"/>
      <c r="H8" s="22"/>
      <c r="I8" s="17"/>
    </row>
    <row r="9" customFormat="false" ht="54.75" hidden="false" customHeight="true" outlineLevel="0" collapsed="false">
      <c r="A9" s="20" t="n">
        <v>5</v>
      </c>
      <c r="B9" s="21" t="s">
        <v>81</v>
      </c>
      <c r="C9" s="21" t="s">
        <v>82</v>
      </c>
      <c r="D9" s="21" t="s">
        <v>83</v>
      </c>
      <c r="E9" s="15"/>
      <c r="F9" s="15"/>
      <c r="G9" s="15"/>
      <c r="H9" s="22"/>
      <c r="I9" s="5"/>
    </row>
    <row r="10" customFormat="false" ht="54.75" hidden="false" customHeight="true" outlineLevel="0" collapsed="false">
      <c r="A10" s="23" t="n">
        <v>6</v>
      </c>
      <c r="B10" s="24" t="s">
        <v>81</v>
      </c>
      <c r="C10" s="24" t="s">
        <v>82</v>
      </c>
      <c r="D10" s="24" t="s">
        <v>83</v>
      </c>
      <c r="E10" s="15"/>
      <c r="F10" s="15"/>
      <c r="G10" s="15"/>
      <c r="H10" s="22"/>
      <c r="I10" s="17"/>
    </row>
    <row r="11" customFormat="false" ht="54.75" hidden="false" customHeight="true" outlineLevel="0" collapsed="false">
      <c r="A11" s="20" t="n">
        <v>7</v>
      </c>
      <c r="B11" s="21" t="s">
        <v>81</v>
      </c>
      <c r="C11" s="21" t="s">
        <v>82</v>
      </c>
      <c r="D11" s="21" t="s">
        <v>83</v>
      </c>
      <c r="E11" s="15"/>
      <c r="F11" s="15"/>
      <c r="G11" s="15"/>
      <c r="H11" s="22"/>
      <c r="I11" s="5"/>
    </row>
    <row r="12" customFormat="false" ht="54.75" hidden="false" customHeight="true" outlineLevel="0" collapsed="false">
      <c r="A12" s="23" t="n">
        <v>8</v>
      </c>
      <c r="B12" s="24" t="s">
        <v>81</v>
      </c>
      <c r="C12" s="24" t="s">
        <v>82</v>
      </c>
      <c r="D12" s="24" t="s">
        <v>83</v>
      </c>
      <c r="E12" s="15"/>
      <c r="F12" s="15"/>
      <c r="G12" s="15"/>
      <c r="H12" s="22"/>
      <c r="I12" s="17"/>
    </row>
    <row r="13" customFormat="false" ht="54.75" hidden="false" customHeight="true" outlineLevel="0" collapsed="false">
      <c r="A13" s="20" t="n">
        <v>9</v>
      </c>
      <c r="B13" s="21" t="s">
        <v>81</v>
      </c>
      <c r="C13" s="21" t="s">
        <v>82</v>
      </c>
      <c r="D13" s="21" t="s">
        <v>83</v>
      </c>
      <c r="E13" s="15"/>
      <c r="F13" s="15"/>
      <c r="G13" s="15"/>
      <c r="H13" s="22"/>
      <c r="I13" s="5"/>
    </row>
    <row r="14" customFormat="false" ht="54.75" hidden="false" customHeight="true" outlineLevel="0" collapsed="false">
      <c r="A14" s="23" t="n">
        <v>10</v>
      </c>
      <c r="B14" s="24" t="s">
        <v>81</v>
      </c>
      <c r="C14" s="24" t="s">
        <v>82</v>
      </c>
      <c r="D14" s="24" t="s">
        <v>83</v>
      </c>
      <c r="E14" s="15"/>
      <c r="F14" s="15"/>
      <c r="G14" s="15"/>
      <c r="H14" s="22"/>
      <c r="I14" s="17"/>
    </row>
    <row r="15" customFormat="false" ht="54.75" hidden="false" customHeight="true" outlineLevel="0" collapsed="false">
      <c r="A15" s="20" t="n">
        <v>11</v>
      </c>
      <c r="B15" s="21" t="s">
        <v>81</v>
      </c>
      <c r="C15" s="21" t="s">
        <v>82</v>
      </c>
      <c r="D15" s="21" t="s">
        <v>83</v>
      </c>
      <c r="E15" s="15"/>
      <c r="F15" s="15"/>
      <c r="G15" s="15"/>
      <c r="H15" s="22"/>
      <c r="I15" s="5"/>
    </row>
    <row r="16" customFormat="false" ht="54.75" hidden="false" customHeight="true" outlineLevel="0" collapsed="false">
      <c r="A16" s="23" t="n">
        <v>12</v>
      </c>
      <c r="B16" s="24" t="s">
        <v>81</v>
      </c>
      <c r="C16" s="24" t="s">
        <v>82</v>
      </c>
      <c r="D16" s="24" t="s">
        <v>83</v>
      </c>
      <c r="E16" s="15"/>
      <c r="F16" s="15"/>
      <c r="G16" s="15"/>
      <c r="H16" s="22"/>
      <c r="I16" s="17"/>
    </row>
    <row r="17" customFormat="false" ht="54.75" hidden="false" customHeight="true" outlineLevel="0" collapsed="false">
      <c r="A17" s="20" t="n">
        <v>13</v>
      </c>
      <c r="B17" s="21" t="s">
        <v>81</v>
      </c>
      <c r="C17" s="21" t="s">
        <v>82</v>
      </c>
      <c r="D17" s="21" t="s">
        <v>83</v>
      </c>
      <c r="E17" s="15"/>
      <c r="F17" s="15"/>
      <c r="G17" s="15"/>
      <c r="H17" s="22"/>
      <c r="I17" s="5"/>
    </row>
    <row r="18" customFormat="false" ht="54.75" hidden="false" customHeight="true" outlineLevel="0" collapsed="false">
      <c r="A18" s="23" t="n">
        <v>14</v>
      </c>
      <c r="B18" s="24" t="s">
        <v>81</v>
      </c>
      <c r="C18" s="24" t="s">
        <v>82</v>
      </c>
      <c r="D18" s="24" t="s">
        <v>83</v>
      </c>
      <c r="E18" s="15"/>
      <c r="F18" s="15"/>
      <c r="G18" s="15"/>
      <c r="H18" s="22"/>
      <c r="I18" s="17"/>
    </row>
    <row r="19" customFormat="false" ht="54.75" hidden="false" customHeight="true" outlineLevel="0" collapsed="false">
      <c r="A19" s="20" t="n">
        <v>15</v>
      </c>
      <c r="B19" s="21" t="s">
        <v>81</v>
      </c>
      <c r="C19" s="21" t="s">
        <v>82</v>
      </c>
      <c r="D19" s="21" t="s">
        <v>83</v>
      </c>
      <c r="E19" s="15"/>
      <c r="F19" s="15"/>
      <c r="G19" s="15"/>
      <c r="H19" s="22"/>
      <c r="I19" s="5"/>
    </row>
    <row r="20" customFormat="false" ht="54.75" hidden="false" customHeight="true" outlineLevel="0" collapsed="false">
      <c r="A20" s="23" t="n">
        <v>16</v>
      </c>
      <c r="B20" s="24" t="s">
        <v>81</v>
      </c>
      <c r="C20" s="24" t="s">
        <v>82</v>
      </c>
      <c r="D20" s="24" t="s">
        <v>83</v>
      </c>
      <c r="E20" s="15"/>
      <c r="F20" s="15"/>
      <c r="G20" s="15"/>
      <c r="H20" s="22"/>
      <c r="I20" s="17"/>
    </row>
    <row r="21" customFormat="false" ht="54.75" hidden="false" customHeight="true" outlineLevel="0" collapsed="false">
      <c r="A21" s="20" t="n">
        <v>17</v>
      </c>
      <c r="B21" s="21" t="s">
        <v>81</v>
      </c>
      <c r="C21" s="21" t="s">
        <v>82</v>
      </c>
      <c r="D21" s="21" t="s">
        <v>83</v>
      </c>
      <c r="E21" s="15"/>
      <c r="F21" s="15"/>
      <c r="G21" s="15"/>
      <c r="H21" s="22"/>
      <c r="I21" s="5"/>
    </row>
    <row r="22" customFormat="false" ht="54.75" hidden="false" customHeight="true" outlineLevel="0" collapsed="false">
      <c r="A22" s="23" t="n">
        <v>18</v>
      </c>
      <c r="B22" s="24" t="s">
        <v>81</v>
      </c>
      <c r="C22" s="24" t="s">
        <v>82</v>
      </c>
      <c r="D22" s="24" t="s">
        <v>83</v>
      </c>
      <c r="E22" s="15"/>
      <c r="F22" s="15"/>
      <c r="G22" s="15"/>
      <c r="H22" s="22"/>
      <c r="I22" s="17"/>
    </row>
    <row r="23" customFormat="false" ht="54.75" hidden="false" customHeight="true" outlineLevel="0" collapsed="false">
      <c r="A23" s="20" t="n">
        <v>19</v>
      </c>
      <c r="B23" s="21" t="s">
        <v>81</v>
      </c>
      <c r="C23" s="21" t="s">
        <v>82</v>
      </c>
      <c r="D23" s="21" t="s">
        <v>83</v>
      </c>
      <c r="E23" s="15"/>
      <c r="F23" s="15"/>
      <c r="G23" s="15"/>
      <c r="H23" s="22"/>
      <c r="I23" s="5"/>
    </row>
    <row r="24" customFormat="false" ht="54.75" hidden="false" customHeight="true" outlineLevel="0" collapsed="false">
      <c r="A24" s="23" t="n">
        <v>20</v>
      </c>
      <c r="B24" s="24" t="s">
        <v>81</v>
      </c>
      <c r="C24" s="24" t="s">
        <v>82</v>
      </c>
      <c r="D24" s="24" t="s">
        <v>83</v>
      </c>
      <c r="E24" s="15"/>
      <c r="F24" s="15"/>
      <c r="G24" s="15"/>
      <c r="H24" s="22"/>
      <c r="I24" s="17"/>
    </row>
    <row r="25" customFormat="false" ht="54.75" hidden="false" customHeight="true" outlineLevel="0" collapsed="false">
      <c r="A25" s="20" t="n">
        <v>21</v>
      </c>
      <c r="B25" s="21" t="s">
        <v>81</v>
      </c>
      <c r="C25" s="21" t="s">
        <v>82</v>
      </c>
      <c r="D25" s="21" t="s">
        <v>83</v>
      </c>
      <c r="E25" s="15"/>
      <c r="F25" s="15"/>
      <c r="G25" s="15"/>
      <c r="H25" s="22"/>
      <c r="I25" s="5"/>
    </row>
    <row r="26" customFormat="false" ht="54.75" hidden="false" customHeight="true" outlineLevel="0" collapsed="false">
      <c r="A26" s="23" t="n">
        <v>22</v>
      </c>
      <c r="B26" s="24" t="s">
        <v>81</v>
      </c>
      <c r="C26" s="24" t="s">
        <v>82</v>
      </c>
      <c r="D26" s="24" t="s">
        <v>83</v>
      </c>
      <c r="E26" s="15"/>
      <c r="F26" s="15"/>
      <c r="G26" s="15"/>
      <c r="H26" s="22"/>
      <c r="I26" s="17"/>
    </row>
    <row r="27" customFormat="false" ht="54.75" hidden="false" customHeight="true" outlineLevel="0" collapsed="false">
      <c r="A27" s="20" t="n">
        <v>23</v>
      </c>
      <c r="B27" s="21" t="s">
        <v>81</v>
      </c>
      <c r="C27" s="21" t="s">
        <v>82</v>
      </c>
      <c r="D27" s="21" t="s">
        <v>83</v>
      </c>
      <c r="E27" s="15"/>
      <c r="F27" s="15"/>
      <c r="G27" s="15"/>
      <c r="H27" s="22"/>
      <c r="I27" s="5"/>
    </row>
    <row r="28" customFormat="false" ht="54.75" hidden="false" customHeight="true" outlineLevel="0" collapsed="false">
      <c r="A28" s="23" t="n">
        <v>24</v>
      </c>
      <c r="B28" s="24" t="s">
        <v>81</v>
      </c>
      <c r="C28" s="24" t="s">
        <v>82</v>
      </c>
      <c r="D28" s="24" t="s">
        <v>83</v>
      </c>
      <c r="E28" s="15"/>
      <c r="F28" s="15"/>
      <c r="G28" s="15"/>
      <c r="H28" s="22"/>
      <c r="I28" s="17"/>
    </row>
    <row r="29" customFormat="false" ht="54.75" hidden="false" customHeight="true" outlineLevel="0" collapsed="false">
      <c r="A29" s="20" t="n">
        <v>25</v>
      </c>
      <c r="B29" s="21" t="s">
        <v>81</v>
      </c>
      <c r="C29" s="21" t="s">
        <v>82</v>
      </c>
      <c r="D29" s="21" t="s">
        <v>83</v>
      </c>
      <c r="E29" s="15"/>
      <c r="F29" s="15"/>
      <c r="G29" s="15"/>
      <c r="H29" s="22"/>
      <c r="I29" s="5"/>
    </row>
    <row r="30" customFormat="false" ht="54.75" hidden="false" customHeight="true" outlineLevel="0" collapsed="false">
      <c r="A30" s="23" t="n">
        <v>26</v>
      </c>
      <c r="B30" s="24" t="s">
        <v>81</v>
      </c>
      <c r="C30" s="24" t="s">
        <v>82</v>
      </c>
      <c r="D30" s="24" t="s">
        <v>83</v>
      </c>
      <c r="E30" s="15"/>
      <c r="F30" s="15"/>
      <c r="G30" s="15"/>
      <c r="H30" s="22"/>
      <c r="I30" s="17"/>
    </row>
    <row r="31" customFormat="false" ht="54.75" hidden="false" customHeight="true" outlineLevel="0" collapsed="false">
      <c r="A31" s="20" t="n">
        <v>27</v>
      </c>
      <c r="B31" s="21" t="s">
        <v>81</v>
      </c>
      <c r="C31" s="21" t="s">
        <v>82</v>
      </c>
      <c r="D31" s="21" t="s">
        <v>83</v>
      </c>
      <c r="E31" s="15"/>
      <c r="F31" s="15"/>
      <c r="G31" s="15"/>
      <c r="H31" s="22"/>
      <c r="I31" s="5"/>
    </row>
    <row r="32" customFormat="false" ht="54.75" hidden="false" customHeight="true" outlineLevel="0" collapsed="false">
      <c r="A32" s="23" t="n">
        <v>28</v>
      </c>
      <c r="B32" s="24" t="s">
        <v>81</v>
      </c>
      <c r="C32" s="24" t="s">
        <v>82</v>
      </c>
      <c r="D32" s="24" t="s">
        <v>83</v>
      </c>
      <c r="E32" s="15"/>
      <c r="F32" s="15"/>
      <c r="G32" s="15"/>
      <c r="H32" s="22"/>
      <c r="I32" s="17"/>
    </row>
    <row r="33" customFormat="false" ht="54.75" hidden="false" customHeight="true" outlineLevel="0" collapsed="false">
      <c r="A33" s="20" t="n">
        <v>29</v>
      </c>
      <c r="B33" s="21" t="s">
        <v>81</v>
      </c>
      <c r="C33" s="21" t="s">
        <v>82</v>
      </c>
      <c r="D33" s="21" t="s">
        <v>83</v>
      </c>
      <c r="E33" s="15"/>
      <c r="F33" s="15"/>
      <c r="G33" s="15"/>
      <c r="H33" s="22"/>
      <c r="I33" s="5"/>
    </row>
    <row r="34" customFormat="false" ht="54.75" hidden="false" customHeight="true" outlineLevel="0" collapsed="false">
      <c r="A34" s="23" t="n">
        <v>30</v>
      </c>
      <c r="B34" s="24" t="s">
        <v>81</v>
      </c>
      <c r="C34" s="24" t="s">
        <v>82</v>
      </c>
      <c r="D34" s="24" t="s">
        <v>83</v>
      </c>
      <c r="E34" s="15"/>
      <c r="F34" s="15"/>
      <c r="G34" s="15"/>
      <c r="H34" s="22"/>
      <c r="I34" s="17"/>
    </row>
  </sheetData>
  <mergeCells count="5">
    <mergeCell ref="A1:I1"/>
    <mergeCell ref="A2:D2"/>
    <mergeCell ref="E2:F2"/>
    <mergeCell ref="G2:I2"/>
    <mergeCell ref="A3:I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6"/>
    <col collapsed="false" customWidth="true" hidden="false" outlineLevel="0" max="4" min="3" style="1" width="14"/>
    <col collapsed="false" customWidth="true" hidden="false" outlineLevel="0" max="5" min="5" style="1" width="28"/>
    <col collapsed="false" customWidth="true" hidden="false" outlineLevel="0" max="6" min="6" style="1" width="14"/>
  </cols>
  <sheetData>
    <row r="1" customFormat="false" ht="27.75" hidden="false" customHeight="true" outlineLevel="0" collapsed="false">
      <c r="A1" s="11" t="s">
        <v>84</v>
      </c>
      <c r="B1" s="11"/>
      <c r="C1" s="11"/>
      <c r="D1" s="11"/>
      <c r="E1" s="11"/>
      <c r="F1" s="11"/>
    </row>
    <row r="2" customFormat="false" ht="49.5" hidden="false" customHeight="true" outlineLevel="0" collapsed="false">
      <c r="A2" s="25" t="s">
        <v>85</v>
      </c>
      <c r="B2" s="25"/>
      <c r="C2" s="25"/>
      <c r="D2" s="25"/>
      <c r="E2" s="25"/>
      <c r="F2" s="25"/>
    </row>
    <row r="3" customFormat="false" ht="7.5" hidden="false" customHeight="true" outlineLevel="0" collapsed="false"/>
    <row r="4" customFormat="false" ht="21.75" hidden="false" customHeight="true" outlineLevel="0" collapsed="false">
      <c r="A4" s="26" t="s">
        <v>86</v>
      </c>
      <c r="B4" s="26"/>
      <c r="C4" s="26"/>
      <c r="D4" s="26"/>
      <c r="E4" s="26"/>
      <c r="F4" s="26"/>
    </row>
    <row r="5" customFormat="false" ht="27.75" hidden="false" customHeight="true" outlineLevel="0" collapsed="false">
      <c r="A5" s="27" t="s">
        <v>87</v>
      </c>
      <c r="B5" s="27" t="s">
        <v>88</v>
      </c>
      <c r="C5" s="27" t="s">
        <v>89</v>
      </c>
      <c r="D5" s="27" t="s">
        <v>90</v>
      </c>
      <c r="E5" s="27" t="s">
        <v>91</v>
      </c>
      <c r="F5" s="28"/>
    </row>
    <row r="6" customFormat="false" ht="21.75" hidden="false" customHeight="true" outlineLevel="0" collapsed="false">
      <c r="A6" s="29" t="s">
        <v>92</v>
      </c>
      <c r="B6" s="29" t="s">
        <v>93</v>
      </c>
      <c r="C6" s="29" t="s">
        <v>94</v>
      </c>
      <c r="D6" s="29" t="s">
        <v>95</v>
      </c>
      <c r="E6" s="29" t="s">
        <v>94</v>
      </c>
      <c r="F6" s="30"/>
    </row>
    <row r="7" customFormat="false" ht="21.75" hidden="false" customHeight="true" outlineLevel="0" collapsed="false">
      <c r="A7" s="31" t="s">
        <v>96</v>
      </c>
      <c r="B7" s="31" t="s">
        <v>97</v>
      </c>
      <c r="C7" s="31" t="s">
        <v>98</v>
      </c>
      <c r="D7" s="31" t="s">
        <v>99</v>
      </c>
      <c r="E7" s="31" t="s">
        <v>98</v>
      </c>
      <c r="F7" s="32"/>
    </row>
    <row r="8" customFormat="false" ht="21.75" hidden="false" customHeight="true" outlineLevel="0" collapsed="false">
      <c r="A8" s="29" t="s">
        <v>100</v>
      </c>
      <c r="B8" s="29" t="s">
        <v>101</v>
      </c>
      <c r="C8" s="29" t="s">
        <v>102</v>
      </c>
      <c r="D8" s="29" t="s">
        <v>98</v>
      </c>
      <c r="E8" s="29" t="s">
        <v>102</v>
      </c>
      <c r="F8" s="30"/>
    </row>
    <row r="10" customFormat="false" ht="7.5" hidden="false" customHeight="true" outlineLevel="0" collapsed="false"/>
    <row r="11" customFormat="false" ht="21.75" hidden="false" customHeight="true" outlineLevel="0" collapsed="false">
      <c r="A11" s="26" t="s">
        <v>103</v>
      </c>
      <c r="B11" s="26"/>
      <c r="C11" s="26"/>
      <c r="D11" s="26"/>
      <c r="E11" s="26"/>
      <c r="F11" s="26"/>
    </row>
    <row r="12" customFormat="false" ht="27.75" hidden="false" customHeight="true" outlineLevel="0" collapsed="false">
      <c r="A12" s="27" t="s">
        <v>104</v>
      </c>
      <c r="B12" s="27" t="s">
        <v>105</v>
      </c>
      <c r="C12" s="27" t="s">
        <v>106</v>
      </c>
      <c r="D12" s="27" t="s">
        <v>107</v>
      </c>
      <c r="E12" s="27" t="s">
        <v>108</v>
      </c>
      <c r="F12" s="27" t="s">
        <v>109</v>
      </c>
    </row>
    <row r="13" customFormat="false" ht="21.75" hidden="false" customHeight="true" outlineLevel="0" collapsed="false">
      <c r="A13" s="33" t="s">
        <v>89</v>
      </c>
      <c r="B13" s="29" t="s">
        <v>110</v>
      </c>
      <c r="C13" s="34"/>
      <c r="D13" s="29" t="n">
        <f aca="false">IFERROR(C13*0.35,0)</f>
        <v>0</v>
      </c>
      <c r="E13" s="29"/>
      <c r="F13" s="35" t="s">
        <v>111</v>
      </c>
    </row>
    <row r="14" customFormat="false" ht="21.75" hidden="false" customHeight="true" outlineLevel="0" collapsed="false">
      <c r="A14" s="36" t="s">
        <v>90</v>
      </c>
      <c r="B14" s="31" t="s">
        <v>112</v>
      </c>
      <c r="C14" s="34"/>
      <c r="D14" s="31" t="n">
        <f aca="false">IFERROR(C14*0.3,0)</f>
        <v>0</v>
      </c>
      <c r="E14" s="31"/>
      <c r="F14" s="35" t="s">
        <v>111</v>
      </c>
    </row>
    <row r="15" customFormat="false" ht="21.75" hidden="false" customHeight="true" outlineLevel="0" collapsed="false">
      <c r="A15" s="33" t="s">
        <v>91</v>
      </c>
      <c r="B15" s="29" t="s">
        <v>113</v>
      </c>
      <c r="C15" s="34"/>
      <c r="D15" s="29" t="n">
        <f aca="false">IFERROR(C15*0.25,0)</f>
        <v>0</v>
      </c>
      <c r="E15" s="29"/>
      <c r="F15" s="35" t="s">
        <v>111</v>
      </c>
    </row>
    <row r="16" customFormat="false" ht="21.75" hidden="false" customHeight="true" outlineLevel="0" collapsed="false">
      <c r="A16" s="37" t="s">
        <v>114</v>
      </c>
      <c r="B16" s="38" t="s">
        <v>115</v>
      </c>
      <c r="C16" s="38" t="s">
        <v>116</v>
      </c>
      <c r="D16" s="38" t="s">
        <v>117</v>
      </c>
      <c r="E16" s="38" t="s">
        <v>117</v>
      </c>
      <c r="F16" s="35" t="s">
        <v>118</v>
      </c>
    </row>
    <row r="17" customFormat="false" ht="24.75" hidden="false" customHeight="true" outlineLevel="0" collapsed="false">
      <c r="A17" s="39" t="s">
        <v>119</v>
      </c>
      <c r="B17" s="39"/>
      <c r="C17" s="40"/>
      <c r="D17" s="41" t="n">
        <f aca="false">IFERROR(D13+D14+D15,0)</f>
        <v>0</v>
      </c>
      <c r="E17" s="40"/>
      <c r="F17" s="40"/>
    </row>
    <row r="18" customFormat="false" ht="7.5" hidden="false" customHeight="true" outlineLevel="0" collapsed="false"/>
    <row r="19" customFormat="false" ht="60" hidden="false" customHeight="true" outlineLevel="0" collapsed="false">
      <c r="A19" s="42" t="s">
        <v>120</v>
      </c>
      <c r="B19" s="42"/>
      <c r="C19" s="42"/>
      <c r="D19" s="42"/>
      <c r="E19" s="42"/>
      <c r="F19" s="42"/>
    </row>
    <row r="20" customFormat="false" ht="15" hidden="false" customHeight="false" outlineLevel="0" collapsed="false">
      <c r="B20" s="1" t="str">
        <f aca="false">IFERROR(B19/B18,"")</f>
        <v/>
      </c>
    </row>
  </sheetData>
  <mergeCells count="6">
    <mergeCell ref="A1:F1"/>
    <mergeCell ref="A2:F2"/>
    <mergeCell ref="A4:F4"/>
    <mergeCell ref="A11:F11"/>
    <mergeCell ref="A17:B17"/>
    <mergeCell ref="A19: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0"/>
    <col collapsed="false" customWidth="true" hidden="false" outlineLevel="0" max="6" min="3" style="1" width="38"/>
  </cols>
  <sheetData>
    <row r="1" customFormat="false" ht="27.75" hidden="false" customHeight="true" outlineLevel="0" collapsed="false">
      <c r="A1" s="11" t="s">
        <v>121</v>
      </c>
      <c r="B1" s="11"/>
      <c r="C1" s="11"/>
      <c r="D1" s="11"/>
      <c r="E1" s="11"/>
      <c r="F1" s="11"/>
    </row>
    <row r="2" customFormat="false" ht="21.75" hidden="false" customHeight="true" outlineLevel="0" collapsed="false">
      <c r="A2" s="43" t="s">
        <v>122</v>
      </c>
      <c r="B2" s="43"/>
      <c r="C2" s="43"/>
      <c r="D2" s="43"/>
      <c r="E2" s="43"/>
      <c r="F2" s="43"/>
    </row>
    <row r="3" customFormat="false" ht="45" hidden="false" customHeight="true" outlineLevel="0" collapsed="false">
      <c r="A3" s="13" t="s">
        <v>123</v>
      </c>
      <c r="B3" s="13" t="s">
        <v>124</v>
      </c>
      <c r="C3" s="13" t="s">
        <v>89</v>
      </c>
      <c r="D3" s="13" t="s">
        <v>90</v>
      </c>
      <c r="E3" s="13" t="s">
        <v>91</v>
      </c>
      <c r="F3" s="13" t="s">
        <v>114</v>
      </c>
    </row>
    <row r="4" customFormat="false" ht="69.75" hidden="false" customHeight="true" outlineLevel="0" collapsed="false">
      <c r="A4" s="44" t="s">
        <v>125</v>
      </c>
      <c r="B4" s="44" t="s">
        <v>126</v>
      </c>
      <c r="C4" s="5" t="s">
        <v>127</v>
      </c>
      <c r="D4" s="5" t="s">
        <v>128</v>
      </c>
      <c r="E4" s="5" t="s">
        <v>129</v>
      </c>
      <c r="F4" s="5" t="s">
        <v>130</v>
      </c>
    </row>
    <row r="5" customFormat="false" ht="69.75" hidden="false" customHeight="true" outlineLevel="0" collapsed="false">
      <c r="A5" s="45" t="s">
        <v>131</v>
      </c>
      <c r="B5" s="45" t="s">
        <v>132</v>
      </c>
      <c r="C5" s="17" t="s">
        <v>133</v>
      </c>
      <c r="D5" s="17" t="s">
        <v>134</v>
      </c>
      <c r="E5" s="17" t="s">
        <v>135</v>
      </c>
      <c r="F5" s="17" t="s">
        <v>136</v>
      </c>
    </row>
    <row r="6" customFormat="false" ht="69.75" hidden="false" customHeight="true" outlineLevel="0" collapsed="false">
      <c r="A6" s="44" t="s">
        <v>137</v>
      </c>
      <c r="B6" s="44" t="s">
        <v>138</v>
      </c>
      <c r="C6" s="5" t="s">
        <v>139</v>
      </c>
      <c r="D6" s="5" t="s">
        <v>140</v>
      </c>
      <c r="E6" s="5" t="s">
        <v>141</v>
      </c>
      <c r="F6" s="5" t="s">
        <v>142</v>
      </c>
    </row>
    <row r="7" customFormat="false" ht="69.75" hidden="false" customHeight="true" outlineLevel="0" collapsed="false">
      <c r="A7" s="45" t="s">
        <v>143</v>
      </c>
      <c r="B7" s="45" t="s">
        <v>144</v>
      </c>
      <c r="C7" s="17" t="s">
        <v>145</v>
      </c>
      <c r="D7" s="17" t="s">
        <v>146</v>
      </c>
      <c r="E7" s="17" t="s">
        <v>147</v>
      </c>
      <c r="F7" s="17" t="s">
        <v>148</v>
      </c>
    </row>
    <row r="8" customFormat="false" ht="69.75" hidden="false" customHeight="true" outlineLevel="0" collapsed="false">
      <c r="A8" s="44" t="s">
        <v>149</v>
      </c>
      <c r="B8" s="44" t="s">
        <v>150</v>
      </c>
      <c r="C8" s="5" t="s">
        <v>151</v>
      </c>
      <c r="D8" s="5" t="s">
        <v>152</v>
      </c>
      <c r="E8" s="5" t="s">
        <v>153</v>
      </c>
      <c r="F8" s="5" t="s">
        <v>154</v>
      </c>
    </row>
    <row r="9" customFormat="false" ht="34.5" hidden="false" customHeight="true" outlineLevel="0" collapsed="false">
      <c r="A9" s="46" t="s">
        <v>155</v>
      </c>
      <c r="B9" s="46"/>
      <c r="C9" s="46"/>
      <c r="D9" s="46"/>
      <c r="E9" s="46"/>
      <c r="F9" s="46"/>
    </row>
  </sheetData>
  <mergeCells count="3">
    <mergeCell ref="A1:F1"/>
    <mergeCell ref="A2:F2"/>
    <mergeCell ref="A9:F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2026-05-23T00:11:25Z</dcterms:created>
  <dc:creator>openpyxl</dc:creator>
  <dc:description/>
  <dc:language>en-US</dc:language>
  <cp:lastModifiedBy/>
  <dcterms:modified xsi:type="dcterms:W3CDTF">2026-05-23T00:14:28Z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