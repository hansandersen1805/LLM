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Scoring" sheetId="2" state="visible" r:id="rId4"/>
    <sheet name="Summary" sheetId="3" state="visible" r:id="rId5"/>
    <sheet name="Anchor Card"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<sst xmlns="http://schemas.openxmlformats.org/spreadsheetml/2006/main" count="161" uniqueCount="155">
  <si>
    <t xml:space="preserve">LAYER 3 — BUSINESS USER PILOT SCORING SHEET</t>
  </si>
  <si>
    <t xml:space="preserve">Genie Space Evaluation Framework  |  Internal Use  |  May 2026</t>
  </si>
  <si>
    <t xml:space="preserve">PURPOSE</t>
  </si>
  <si>
    <t xml:space="preserve">This spreadsheet is for business user testers evaluating a Genie space in Layer 3 of the evaluation framework. You will ask Genie questions using the Genie chat interface (the tool you will use in production) and rate your experience on this form after each response.</t>
  </si>
  <si>
    <t xml:space="preserve">WHAT GENIE IS</t>
  </si>
  <si>
    <t xml:space="preserve">Genie is a data analytics tool that answers your natural language questions by generating SQL queries against our company data and returning a result set (a table of data). You ask questions the way you would ask a data analyst. Genie returns structured data results, not free-form text explanations.</t>
  </si>
  <si>
    <t xml:space="preserve">YOUR ROLE</t>
  </si>
  <si>
    <t xml:space="preserve">You are evaluating end-user experience — did Genie answer your question, was the result useful, and could you understand it? You are NOT being asked to judge technical SQL accuracy or policy compliance. Those are assessed by specialist reviewers in Layer 2. If you are unsure whether a result is correct, rate it accordingly and leave a specific comment — do not guess that it must be right.</t>
  </si>
  <si>
    <t xml:space="preserve">TWO-PART SESSION STRUCTURE</t>
  </si>
  <si>
    <t xml:space="preserve">Your session has two parts:
PART 1 — Structured task list (mandatory): Work through ALL 15 questions on the task list in the Scoring tab in order. Complete every question before moving to Part 2. These questions define what is being evaluated and produce the scored deployment gate evidence.
PART 2 — Free exploration (optional, 10-15 min): After completing all 15 tasks, you may ask Genie additional questions relevant to your role. Record any new questions and results in the rows below task 15.</t>
  </si>
  <si>
    <t xml:space="preserve">HOW TO COMPLETE THIS SHEET</t>
  </si>
  <si>
    <t xml:space="preserve">Open the Scoring tab. For each task: (1) ask Genie the question in your own words using the Genie interface, (2) review the result set Genie returns, (3) complete columns C through H on this sheet IMMEDIATELY after reviewing the result. Do not wait until the end of the session. Immediate ratings are more accurate.</t>
  </si>
  <si>
    <t xml:space="preserve">ALSO RATE IN GENIE</t>
  </si>
  <si>
    <t xml:space="preserve">After completing your rating on this form, also use the thumbs up or thumbs down button in the Genie interface. If you give a thumbs down, click 'Ask for Review' and add the same comment you put in column H on this form. Both are needed — this form provides the scored deployment gate evidence; the Genie UI feedback feeds the knowledge mining system.</t>
  </si>
  <si>
    <t xml:space="preserve">DOMAIN MATCHING RULE</t>
  </si>
  <si>
    <t xml:space="preserve">Only evaluate questions relevant to your own job role. If a question involves subject matter you would normally escalate to another team before acting on the answer, write SKIP in the Notes column and flag it to the evaluation lead. Do not rate questions outside your domain — rating something you cannot judge creates false data.</t>
  </si>
  <si>
    <t xml:space="preserve">SCORING SCALE</t>
  </si>
  <si>
    <t xml:space="preserve">5 — EXCELLENT</t>
  </si>
  <si>
    <t xml:space="preserve">Fully met my needs. No issues. Exactly what I needed.</t>
  </si>
  <si>
    <t xml:space="preserve">4 — GOOD</t>
  </si>
  <si>
    <t xml:space="preserve">Mostly met my needs with one minor issue that did not significantly affect usefulness.</t>
  </si>
  <si>
    <t xml:space="preserve">3 — PARTIAL</t>
  </si>
  <si>
    <t xml:space="preserve">Partially useful but missing something meaningful. I would need to follow up or rephrase.</t>
  </si>
  <si>
    <t xml:space="preserve">2 — POOR</t>
  </si>
  <si>
    <t xml:space="preserve">Largely unhelpful. Did not address my actual need, was confusing, or returned wrong-looking data.</t>
  </si>
  <si>
    <t xml:space="preserve">1 — FAIL</t>
  </si>
  <si>
    <t xml:space="preserve">Completely unhelpful, returned obviously wrong data, or failed to answer at all. Provide a written comment.</t>
  </si>
  <si>
    <t xml:space="preserve">IMPORTANT RULES</t>
  </si>
  <si>
    <t xml:space="preserve">Rate immediately</t>
  </si>
  <si>
    <t xml:space="preserve">Complete this form after EACH Genie response — not at the end of the session.</t>
  </si>
  <si>
    <t xml:space="preserve">Always write a comment for low scores</t>
  </si>
  <si>
    <t xml:space="preserve">Any rating of 1, 2, or 'Partially/No' must have a specific written comment in column H. One sentence is enough: 'The total shown was $4.2M but our report shows $6.8M for the same period.' Vague comments like 'looks wrong' are not useful.</t>
  </si>
  <si>
    <t xml:space="preserve">Do not discuss with other testers</t>
  </si>
  <si>
    <t xml:space="preserve">Do not share your ratings or discuss Genie's responses with other testers during or after your session. Independent ratings are what we need.</t>
  </si>
  <si>
    <t xml:space="preserve">Do not rate outside your domain</t>
  </si>
  <si>
    <t xml:space="preserve">Write SKIP in column H and flag to the evaluation lead if a question is outside your area of expertise.</t>
  </si>
  <si>
    <t xml:space="preserve">Rate accuracy over presentation</t>
  </si>
  <si>
    <t xml:space="preserve">A clearly presented but wrong result set is worse than a technical but correct one. Rate based on whether Genie actually answered your question correctly.</t>
  </si>
  <si>
    <t xml:space="preserve">Do not skip the form</t>
  </si>
  <si>
    <t xml:space="preserve">The Genie UI thumbs up/down is required but it is supplementary signal only. This form is the primary deployment gate evidence — do not rely on thumbs alone.</t>
  </si>
  <si>
    <t xml:space="preserve">SCORING — Layer 3 Business User Pilot</t>
  </si>
  <si>
    <t xml:space="preserve">Tester name:</t>
  </si>
  <si>
    <t xml:space="preserve">Date:</t>
  </si>
  <si>
    <t xml:space="preserve">Job role / department:</t>
  </si>
  <si>
    <t xml:space="preserve">HOW TO USE THIS SHEET: For each task, ask Genie the question in your own words using the Genie interface. Review the result set Genie returns. Then complete columns C through H on this row IMMEDIATELY — do not wait. Tasks 1-15 are mandatory (complete in order). Tasks 16-20 are free choice — use these for questions relevant to your role that are not on the list.
ALSO: After completing your rating here, also thumbs up or thumbs down in the Genie interface. If thumbs down, click 'Ask for Review' and add the same comment as column H.</t>
  </si>
  <si>
    <t xml:space="preserve">#</t>
  </si>
  <si>
    <t xml:space="preserve">Task Goal
(ask Genie in your own words)</t>
  </si>
  <si>
    <t xml:space="preserve">Did Genie answer
your question?
Yes / Partially / No</t>
  </si>
  <si>
    <t xml:space="preserve">Task
Completion
1–5</t>
  </si>
  <si>
    <t xml:space="preserve">Result
Usefulness
1–5</t>
  </si>
  <si>
    <t xml:space="preserve">Clarity &amp;
Interpretability
1–5</t>
  </si>
  <si>
    <t xml:space="preserve">Genie UI Rating
(thumbs up/down +
Ask for Review?)</t>
  </si>
  <si>
    <t xml:space="preserve">Within your
domain?
Yes / No / SKIP</t>
  </si>
  <si>
    <t xml:space="preserve">Comments
(required for score 1, 2, or Partially/No)</t>
  </si>
  <si>
    <t xml:space="preserve">Show [portfolio/segment] summary for the current period</t>
  </si>
  <si>
    <t xml:space="preserve">Filter to [specific status or category] and show totals</t>
  </si>
  <si>
    <t xml:space="preserve">Compare [metric] across [dimension e.g. region, relationship manager]</t>
  </si>
  <si>
    <t xml:space="preserve">Show all records where [field] meets [condition e.g. above threshold, null]</t>
  </si>
  <si>
    <t xml:space="preserve">What is the total [KPI/measure] for [filter e.g. current quarter]?</t>
  </si>
  <si>
    <t xml:space="preserve">Show [entity type] sorted by [field] descending</t>
  </si>
  <si>
    <t xml:space="preserve">What is the average [measure] for [filter]?</t>
  </si>
  <si>
    <t xml:space="preserve">Show records where [date field] is within [date range]</t>
  </si>
  <si>
    <t xml:space="preserve">Break down [measure] by [dimension] and show top 10</t>
  </si>
  <si>
    <t xml:space="preserve">Show me [entity] where [field A] and [field B] both meet conditions</t>
  </si>
  <si>
    <t xml:space="preserve">What changed between [period 1] and [period 2] for [measure]?</t>
  </si>
  <si>
    <t xml:space="preserve">Show records where [field] is missing or null</t>
  </si>
  <si>
    <t xml:space="preserve">Count the number of [entity type] meeting [filter criteria]</t>
  </si>
  <si>
    <t xml:space="preserve">Show [relationship/joined entity] data for [specific record type]</t>
  </si>
  <si>
    <t xml:space="preserve">Ask Genie a question it should decline or ask to clarify (boundary test)</t>
  </si>
  <si>
    <t xml:space="preserve">[Free choice — ask something relevant to your role]</t>
  </si>
  <si>
    <t xml:space="preserve">[Free choice — edge case or ambiguous question]</t>
  </si>
  <si>
    <t xml:space="preserve">[Free choice — follow-up question based on a previous result]</t>
  </si>
  <si>
    <t xml:space="preserve">[Free choice — any question relevant to your role]</t>
  </si>
  <si>
    <t xml:space="preserve">Tasks 1–15 are drawn from the benchmark question set. Tasks 16–20 are free choice. Record any new questions that produce errors — these will be added to the benchmark set.</t>
  </si>
  <si>
    <t xml:space="preserve">Session averages (structured tasks 1-15 only):</t>
  </si>
  <si>
    <t xml:space="preserve">Avg Task
Completion</t>
  </si>
  <si>
    <t xml:space="preserve">Avg Result
Usefulness</t>
  </si>
  <si>
    <t xml:space="preserve">Avg Clarity</t>
  </si>
  <si>
    <t xml:space="preserve">Overall session rating (1-5 — your overall experience, not one task):</t>
  </si>
  <si>
    <t xml:space="preserve">SUMMARY — Layer 3 Business User Pilot Results</t>
  </si>
  <si>
    <t xml:space="preserve">This summary is completed by the evaluation lead after all tester scoring forms are received. Enter the average score per dimension across all testers for the structured task phase (tasks 1-15). Compare against the tier thresholds and calculate the weighted scorecard total.
Note: Rows rated SKIP by testers are excluded from dimension averages. Only testers who confirmed domain expertise (column H = Yes) are included in scoring.</t>
  </si>
  <si>
    <t xml:space="preserve">RISK TIER THRESHOLDS</t>
  </si>
  <si>
    <t xml:space="preserve">Risk Tier</t>
  </si>
  <si>
    <t xml:space="preserve">Task Completion</t>
  </si>
  <si>
    <t xml:space="preserve">Result Usefulness</t>
  </si>
  <si>
    <t xml:space="preserve">Clarity &amp; Interpretability</t>
  </si>
  <si>
    <t xml:space="preserve">Tester Completion Rate</t>
  </si>
  <si>
    <t xml:space="preserve">Low Risk</t>
  </si>
  <si>
    <t xml:space="preserve">&gt;=75% Yes or Partial (Soft)</t>
  </si>
  <si>
    <t xml:space="preserve">&gt;=70% Yes or With Edits (Soft)</t>
  </si>
  <si>
    <t xml:space="preserve">&gt;=75% score 3+ (Soft)</t>
  </si>
  <si>
    <t xml:space="preserve">&gt;=80% completed all tasks</t>
  </si>
  <si>
    <t xml:space="preserve">Medium Risk</t>
  </si>
  <si>
    <t xml:space="preserve">&gt;=85% Yes or Partial (Hard)</t>
  </si>
  <si>
    <t xml:space="preserve">&gt;=80% Yes or With Edits (Soft)</t>
  </si>
  <si>
    <t xml:space="preserve">&gt;=80% score 3+ (Soft)</t>
  </si>
  <si>
    <t xml:space="preserve">&gt;=85% completed all tasks</t>
  </si>
  <si>
    <t xml:space="preserve">High Risk</t>
  </si>
  <si>
    <t xml:space="preserve">&gt;=90% Yes only (Hard)</t>
  </si>
  <si>
    <t xml:space="preserve">&gt;=85% Yes only (Hard)</t>
  </si>
  <si>
    <t xml:space="preserve">&gt;=85% score 4+ (Soft)</t>
  </si>
  <si>
    <t xml:space="preserve">&gt;=90% completed all tasks</t>
  </si>
  <si>
    <t xml:space="preserve">LAYER 3 WEIGHTED SCORECARD — Enter averages from all tester forms</t>
  </si>
  <si>
    <t xml:space="preserve">Dimension</t>
  </si>
  <si>
    <t xml:space="preserve">Weight</t>
  </si>
  <si>
    <t xml:space="preserve">Avg Score
(1-5, across all testers)</t>
  </si>
  <si>
    <t xml:space="preserve">Weighted Score</t>
  </si>
  <si>
    <t xml:space="preserve">Threshold Status</t>
  </si>
  <si>
    <t xml:space="preserve">45%</t>
  </si>
  <si>
    <t xml:space="preserve">[Enter PASS / FAIL]</t>
  </si>
  <si>
    <t xml:space="preserve">35%</t>
  </si>
  <si>
    <t xml:space="preserve">20%</t>
  </si>
  <si>
    <t xml:space="preserve">TOTAL WEIGHTED SCORE</t>
  </si>
  <si>
    <t xml:space="preserve">TESTER COMPLETION RATE</t>
  </si>
  <si>
    <t xml:space="preserve">Total testers invited</t>
  </si>
  <si>
    <t xml:space="preserve">Testers who completed all 15 structured tasks</t>
  </si>
  <si>
    <t xml:space="preserve">Completion rate (auto)</t>
  </si>
  <si>
    <t xml:space="preserve">Threshold for risk tier</t>
  </si>
  <si>
    <t xml:space="preserve">[Enter Low / Medium / High threshold]</t>
  </si>
  <si>
    <t xml:space="preserve">Completion rate status</t>
  </si>
  <si>
    <t xml:space="preserve">[Enter PASS or FAIL]</t>
  </si>
  <si>
    <t xml:space="preserve">INTERPRETATION: The space PASSES Layer 3 if: (1) the weighted total meets the tier minimum (Low &gt;=3.5/5.0, Medium &gt;=4.0/5.0, High &gt;=4.2/5.0), AND (2) all per-dimension threshold checks pass, AND (3) the tester completion rate meets the tier threshold.
If the tester completion rate falls below the threshold, the pilot data is invalid and must be repeated with a new or supplemented tester group before Layer 3 evidence is acceptable.
Layer 3 CANNOT reverse a Layer 2 disqualification. Any new question that produced an error during free exploration must be added to the benchmark set by the data science team.</t>
  </si>
  <si>
    <t xml:space="preserve">BEHAVIOURAL ANCHOR CARD — Keep visible while scoring</t>
  </si>
  <si>
    <t xml:space="preserve">Print this tab and keep it visible during your session. Rate based on what you actually experienced — not what you expected to see.</t>
  </si>
  <si>
    <t xml:space="preserve">Score</t>
  </si>
  <si>
    <t xml:space="preserve">Label</t>
  </si>
  <si>
    <t xml:space="preserve">Task Completion
(Did Genie answer your question?)</t>
  </si>
  <si>
    <t xml:space="preserve">Result Usefulness
(Would you use this at work?)</t>
  </si>
  <si>
    <t xml:space="preserve">Clarity &amp; Interpretability
(Could you understand the result?)</t>
  </si>
  <si>
    <t xml:space="preserve">5</t>
  </si>
  <si>
    <t xml:space="preserve">Excellent</t>
  </si>
  <si>
    <t xml:space="preserve">Genie answered my exact question completely. I did not need to rephrase or follow up.</t>
  </si>
  <si>
    <t xml:space="preserve">I would use this result at work as-is, with no changes or additional verification.</t>
  </si>
  <si>
    <t xml:space="preserve">The result was immediately clear. I understood what each column and value meant without needing to investigate.</t>
  </si>
  <si>
    <t xml:space="preserve">4</t>
  </si>
  <si>
    <t xml:space="preserve">Good</t>
  </si>
  <si>
    <t xml:space="preserve">Genie answered the main question. One minor element was missing or slightly off but the core answer is there.</t>
  </si>
  <si>
    <t xml:space="preserve">I would use this result with minor edits or one quick check, but I am confident in the substance.</t>
  </si>
  <si>
    <t xml:space="preserve">The result was mostly clear. One element was slightly confusing but did not prevent me from understanding the answer.</t>
  </si>
  <si>
    <t xml:space="preserve">3</t>
  </si>
  <si>
    <t xml:space="preserve">Partial</t>
  </si>
  <si>
    <t xml:space="preserve">Genie gave me a partial answer. I got useful information but would need to follow up or rephrase to complete my task.</t>
  </si>
  <si>
    <t xml:space="preserve">I could use this as a starting point but would want to verify it or supplement it before acting.</t>
  </si>
  <si>
    <t xml:space="preserve">The result needed some work to interpret. I had to figure out what some columns meant or why certain values appeared.</t>
  </si>
  <si>
    <t xml:space="preserve">2</t>
  </si>
  <si>
    <t xml:space="preserve">Poor</t>
  </si>
  <si>
    <t xml:space="preserve">Genie answered a related but different question, or the core answer I needed was absent.</t>
  </si>
  <si>
    <t xml:space="preserve">I would not use this result without significant additional work — it would take longer to fix than to find the answer another way.</t>
  </si>
  <si>
    <t xml:space="preserve">The result was confusing or poorly presented. I could not easily determine what the answer to my question was.</t>
  </si>
  <si>
    <t xml:space="preserve">1</t>
  </si>
  <si>
    <t xml:space="preserve">Fail</t>
  </si>
  <si>
    <t xml:space="preserve">Genie did not answer my question at all, returned obviously wrong data, or returned an empty result when data should exist.</t>
  </si>
  <si>
    <t xml:space="preserve">I would not use this result in any form — it would actively mislead me or could not be trusted.</t>
  </si>
  <si>
    <t xml:space="preserve">I could not understand the result at all, or it appeared to be answering a completely different question.</t>
  </si>
  <si>
    <t xml:space="preserve">COMMENT GUIDANCE: A score of 1, 2, or 'Partially/No' must always have a specific comment in column H of the Scoring tab. Write what you expected vs. what you got. Examples: 'Expected 47 rows for Q1, got 203 rows covering all periods.' or 'Total shown was $4.2M but our weekly report shows $6.8M for the same filters.' Vague comments like 'looks wrong' or 'not sure' have no diagnostic value.</t>
  </si>
</sst>
</file>

<file path=xl/styles.xml><?xml version="1.0" encoding="utf-8"?>
<styleSheet xmlns="http://schemas.openxmlformats.org/spreadsheetml/2006/main">
  <numFmts count="2">
    <numFmt numFmtId="164" formatCode="General"/>
    <numFmt numFmtId="165" formatCode="General"/>
  </numFmts>
  <fonts count="20">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10"/>
      <color rgb="FFFFFFFF"/>
      <name val="Arial"/>
      <family val="0"/>
      <charset val="1"/>
    </font>
    <font>
      <b val="true"/>
      <sz val="10"/>
      <color rgb="FF1F5C99"/>
      <name val="Arial"/>
      <family val="0"/>
      <charset val="1"/>
    </font>
    <font>
      <sz val="10"/>
      <color rgb="FF1A1A1A"/>
      <name val="Arial"/>
      <family val="0"/>
      <charset val="1"/>
    </font>
    <font>
      <b val="true"/>
      <sz val="10"/>
      <color rgb="FFFFFFFF"/>
      <name val="Arial"/>
      <family val="0"/>
      <charset val="1"/>
    </font>
    <font>
      <b val="true"/>
      <sz val="10"/>
      <color rgb="FF7B1A1A"/>
      <name val="Arial"/>
      <family val="0"/>
      <charset val="1"/>
    </font>
    <font>
      <b val="true"/>
      <sz val="13"/>
      <color rgb="FFFFFFFF"/>
      <name val="Arial"/>
      <family val="0"/>
      <charset val="1"/>
    </font>
    <font>
      <b val="true"/>
      <sz val="10"/>
      <color rgb="FF1A1A1A"/>
      <name val="Arial"/>
      <family val="0"/>
      <charset val="1"/>
    </font>
    <font>
      <i val="true"/>
      <sz val="10"/>
      <color rgb="FF1A1A1A"/>
      <name val="Arial"/>
      <family val="0"/>
      <charset val="1"/>
    </font>
    <font>
      <b val="true"/>
      <sz val="10"/>
      <color rgb="FF4A1A7B"/>
      <name val="Arial"/>
      <family val="0"/>
      <charset val="1"/>
    </font>
    <font>
      <i val="true"/>
      <sz val="10"/>
      <color rgb="FF4A1A7B"/>
      <name val="Arial"/>
      <family val="0"/>
      <charset val="1"/>
    </font>
    <font>
      <i val="true"/>
      <sz val="10"/>
      <color rgb="FF595959"/>
      <name val="Arial"/>
      <family val="0"/>
      <charset val="1"/>
    </font>
    <font>
      <b val="true"/>
      <sz val="9"/>
      <color rgb="FF1F5C99"/>
      <name val="Arial"/>
      <family val="0"/>
      <charset val="1"/>
    </font>
    <font>
      <b val="true"/>
      <sz val="11"/>
      <color rgb="FF1F5C99"/>
      <name val="Arial"/>
      <family val="0"/>
      <charset val="1"/>
    </font>
    <font>
      <b val="true"/>
      <sz val="9"/>
      <color rgb="FFFFFFFF"/>
      <name val="Arial"/>
      <family val="0"/>
      <charset val="1"/>
    </font>
    <font>
      <i val="true"/>
      <sz val="10"/>
      <color rgb="FF856404"/>
      <name val="Arial"/>
      <family val="0"/>
      <charset val="1"/>
    </font>
  </fonts>
  <fills count="13">
    <fill>
      <patternFill patternType="none"/>
    </fill>
    <fill>
      <patternFill patternType="gray125"/>
    </fill>
    <fill>
      <patternFill patternType="solid">
        <fgColor rgb="FF1F5C99"/>
        <bgColor rgb="FF2E75B6"/>
      </patternFill>
    </fill>
    <fill>
      <patternFill patternType="solid">
        <fgColor rgb="FF2E75B6"/>
        <bgColor rgb="FF1F5C99"/>
      </patternFill>
    </fill>
    <fill>
      <patternFill patternType="solid">
        <fgColor rgb="FFEEF3FA"/>
        <bgColor rgb="FFF5F5F5"/>
      </patternFill>
    </fill>
    <fill>
      <patternFill patternType="solid">
        <fgColor rgb="FFFFFFFF"/>
        <bgColor rgb="FFF5F5F5"/>
      </patternFill>
    </fill>
    <fill>
      <patternFill patternType="solid">
        <fgColor rgb="FF7B1A1A"/>
        <bgColor rgb="FF800000"/>
      </patternFill>
    </fill>
    <fill>
      <patternFill patternType="solid">
        <fgColor rgb="FFFDECEA"/>
        <bgColor rgb="FFF5F5F5"/>
      </patternFill>
    </fill>
    <fill>
      <patternFill patternType="solid">
        <fgColor rgb="FFFFF8E1"/>
        <bgColor rgb="FFF5F5F5"/>
      </patternFill>
    </fill>
    <fill>
      <patternFill patternType="solid">
        <fgColor rgb="FFFFD966"/>
        <bgColor rgb="FFFFCC00"/>
      </patternFill>
    </fill>
    <fill>
      <patternFill patternType="solid">
        <fgColor rgb="FFF5F5F5"/>
        <bgColor rgb="FFEEF3FA"/>
      </patternFill>
    </fill>
    <fill>
      <patternFill patternType="solid">
        <fgColor rgb="FFEDE7F6"/>
        <bgColor rgb="FFEEF3FA"/>
      </patternFill>
    </fill>
    <fill>
      <patternFill patternType="solid">
        <fgColor rgb="FFE8F5E9"/>
        <bgColor rgb="FFEEF3FA"/>
      </patternFill>
    </fill>
  </fills>
  <borders count="6">
    <border diagonalUp="false" diagonalDown="false">
      <left/>
      <right/>
      <top/>
      <bottom/>
      <diagonal/>
    </border>
    <border diagonalUp="false" diagonalDown="false">
      <left style="thin">
        <color rgb="FF2E75B6"/>
      </left>
      <right/>
      <top style="thin">
        <color rgb="FF2E75B6"/>
      </top>
      <bottom style="thin">
        <color rgb="FF2E75B6"/>
      </bottom>
      <diagonal/>
    </border>
    <border diagonalUp="false" diagonalDown="false">
      <left style="thin">
        <color rgb="FFDDDDDD"/>
      </left>
      <right style="thin">
        <color rgb="FFDDDDDD"/>
      </right>
      <top style="thin">
        <color rgb="FFDDDDDD"/>
      </top>
      <bottom style="thin">
        <color rgb="FFDDDDDD"/>
      </bottom>
      <diagonal/>
    </border>
    <border diagonalUp="false" diagonalDown="false">
      <left style="thin">
        <color rgb="FF856404"/>
      </left>
      <right style="thin">
        <color rgb="FF856404"/>
      </right>
      <top style="thin">
        <color rgb="FF856404"/>
      </top>
      <bottom style="thin">
        <color rgb="FF856404"/>
      </bottom>
      <diagonal/>
    </border>
    <border diagonalUp="false" diagonalDown="false">
      <left style="thin">
        <color rgb="FF2E75B6"/>
      </left>
      <right style="thin">
        <color rgb="FF2E75B6"/>
      </right>
      <top style="thin">
        <color rgb="FF2E75B6"/>
      </top>
      <bottom style="thin">
        <color rgb="FF2E75B6"/>
      </bottom>
      <diagonal/>
    </border>
    <border diagonalUp="false" diagonalDown="false">
      <left style="thin">
        <color rgb="FFDDDDDD"/>
      </left>
      <right/>
      <top style="thin">
        <color rgb="FFDDDDDD"/>
      </top>
      <bottom style="thin">
        <color rgb="FFDDDD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center" textRotation="0" wrapText="false" indent="0" shrinkToFit="false"/>
      <protection locked="true" hidden="false"/>
    </xf>
    <xf numFmtId="164" fontId="5" fillId="3" borderId="1" xfId="0" applyFont="true" applyBorder="true" applyAlignment="true" applyProtection="false">
      <alignment horizontal="left" vertical="center" textRotation="0" wrapText="false" indent="0" shrinkToFit="false"/>
      <protection locked="true" hidden="false"/>
    </xf>
    <xf numFmtId="164" fontId="6" fillId="4" borderId="2" xfId="0" applyFont="true" applyBorder="true" applyAlignment="true" applyProtection="false">
      <alignment horizontal="left" vertical="top" textRotation="0" wrapText="true" indent="0" shrinkToFit="false"/>
      <protection locked="true" hidden="false"/>
    </xf>
    <xf numFmtId="164" fontId="7" fillId="5" borderId="2" xfId="0" applyFont="true" applyBorder="true" applyAlignment="true" applyProtection="false">
      <alignment horizontal="left" vertical="top" textRotation="0" wrapText="true" indent="0" shrinkToFit="false"/>
      <protection locked="true" hidden="false"/>
    </xf>
    <xf numFmtId="164" fontId="8" fillId="2" borderId="1" xfId="0" applyFont="true" applyBorder="true" applyAlignment="true" applyProtection="false">
      <alignment horizontal="left" vertical="center" textRotation="0" wrapText="false" indent="0" shrinkToFit="false"/>
      <protection locked="true" hidden="false"/>
    </xf>
    <xf numFmtId="164" fontId="6" fillId="4" borderId="2" xfId="0" applyFont="true" applyBorder="true" applyAlignment="true" applyProtection="false">
      <alignment horizontal="left" vertical="center" textRotation="0" wrapText="false" indent="0" shrinkToFit="false"/>
      <protection locked="true" hidden="false"/>
    </xf>
    <xf numFmtId="164" fontId="7" fillId="5" borderId="2" xfId="0" applyFont="true" applyBorder="true" applyAlignment="true" applyProtection="false">
      <alignment horizontal="left" vertical="center" textRotation="0" wrapText="false" indent="0" shrinkToFit="false"/>
      <protection locked="true" hidden="false"/>
    </xf>
    <xf numFmtId="164" fontId="8" fillId="6" borderId="1" xfId="0" applyFont="true" applyBorder="true" applyAlignment="true" applyProtection="false">
      <alignment horizontal="left" vertical="center" textRotation="0" wrapText="false" indent="0" shrinkToFit="false"/>
      <protection locked="true" hidden="false"/>
    </xf>
    <xf numFmtId="164" fontId="9" fillId="7" borderId="2" xfId="0" applyFont="true" applyBorder="true" applyAlignment="true" applyProtection="false">
      <alignment horizontal="left" vertical="top" textRotation="0" wrapText="true" indent="0" shrinkToFit="false"/>
      <protection locked="true" hidden="false"/>
    </xf>
    <xf numFmtId="164" fontId="10" fillId="2" borderId="0" xfId="0" applyFont="true" applyBorder="true" applyAlignment="true" applyProtection="false">
      <alignment horizontal="left" vertical="center" textRotation="0" wrapText="false" indent="0" shrinkToFit="false"/>
      <protection locked="true" hidden="false"/>
    </xf>
    <xf numFmtId="164" fontId="11" fillId="4" borderId="0" xfId="0" applyFont="true" applyBorder="true" applyAlignment="true" applyProtection="false">
      <alignment horizontal="left" vertical="center" textRotation="0" wrapText="false" indent="0" shrinkToFit="false"/>
      <protection locked="true" hidden="false"/>
    </xf>
    <xf numFmtId="164" fontId="12" fillId="8" borderId="3" xfId="0" applyFont="true" applyBorder="true" applyAlignment="true" applyProtection="false">
      <alignment horizontal="left" vertical="top" textRotation="0" wrapText="true" indent="0" shrinkToFit="false"/>
      <protection locked="true" hidden="false"/>
    </xf>
    <xf numFmtId="164" fontId="8" fillId="2" borderId="4" xfId="0" applyFont="true" applyBorder="true" applyAlignment="true" applyProtection="false">
      <alignment horizontal="center" vertical="center" textRotation="0" wrapText="true" indent="0" shrinkToFit="false"/>
      <protection locked="true" hidden="false"/>
    </xf>
    <xf numFmtId="164" fontId="6" fillId="5" borderId="2" xfId="0" applyFont="true" applyBorder="true" applyAlignment="true" applyProtection="false">
      <alignment horizontal="left" vertical="top" textRotation="0" wrapText="true" indent="0" shrinkToFit="false"/>
      <protection locked="true" hidden="false"/>
    </xf>
    <xf numFmtId="164" fontId="7" fillId="9" borderId="2" xfId="0" applyFont="true" applyBorder="true" applyAlignment="true" applyProtection="false">
      <alignment horizontal="center" vertical="center" textRotation="0" wrapText="true" indent="0" shrinkToFit="false"/>
      <protection locked="true" hidden="false"/>
    </xf>
    <xf numFmtId="164" fontId="6" fillId="10" borderId="2" xfId="0" applyFont="true" applyBorder="true" applyAlignment="true" applyProtection="false">
      <alignment horizontal="left" vertical="top" textRotation="0" wrapText="true" indent="0" shrinkToFit="false"/>
      <protection locked="true" hidden="false"/>
    </xf>
    <xf numFmtId="164" fontId="7" fillId="10" borderId="2" xfId="0" applyFont="true" applyBorder="true" applyAlignment="true" applyProtection="false">
      <alignment horizontal="left" vertical="top" textRotation="0" wrapText="true" indent="0" shrinkToFit="false"/>
      <protection locked="true" hidden="false"/>
    </xf>
    <xf numFmtId="164" fontId="13" fillId="11" borderId="2" xfId="0" applyFont="true" applyBorder="true" applyAlignment="true" applyProtection="false">
      <alignment horizontal="left" vertical="top" textRotation="0" wrapText="true" indent="0" shrinkToFit="false"/>
      <protection locked="true" hidden="false"/>
    </xf>
    <xf numFmtId="164" fontId="14" fillId="11" borderId="2" xfId="0" applyFont="true" applyBorder="true" applyAlignment="true" applyProtection="false">
      <alignment horizontal="left" vertical="top" textRotation="0" wrapText="true" indent="0" shrinkToFit="false"/>
      <protection locked="true" hidden="false"/>
    </xf>
    <xf numFmtId="164" fontId="7" fillId="11" borderId="2" xfId="0" applyFont="true" applyBorder="true" applyAlignment="true" applyProtection="false">
      <alignment horizontal="left" vertical="top" textRotation="0" wrapText="true" indent="0" shrinkToFit="false"/>
      <protection locked="true" hidden="false"/>
    </xf>
    <xf numFmtId="164" fontId="15" fillId="10" borderId="5" xfId="0" applyFont="true" applyBorder="true" applyAlignment="true" applyProtection="false">
      <alignment horizontal="left" vertical="center" textRotation="0" wrapText="false" indent="0" shrinkToFit="false"/>
      <protection locked="true" hidden="false"/>
    </xf>
    <xf numFmtId="164" fontId="6" fillId="4" borderId="5" xfId="0" applyFont="true" applyBorder="true" applyAlignment="true" applyProtection="false">
      <alignment horizontal="left" vertical="center" textRotation="0" wrapText="false" indent="0" shrinkToFit="false"/>
      <protection locked="true" hidden="false"/>
    </xf>
    <xf numFmtId="164" fontId="16" fillId="4" borderId="2" xfId="0" applyFont="true" applyBorder="true" applyAlignment="true" applyProtection="false">
      <alignment horizontal="center" vertical="center" textRotation="0" wrapText="true" indent="0" shrinkToFit="false"/>
      <protection locked="true" hidden="false"/>
    </xf>
    <xf numFmtId="164" fontId="0" fillId="4" borderId="2" xfId="0" applyFont="false" applyBorder="true" applyAlignment="true" applyProtection="false">
      <alignment horizontal="general" vertical="bottom" textRotation="0" wrapText="false" indent="0" shrinkToFit="false"/>
      <protection locked="true" hidden="false"/>
    </xf>
    <xf numFmtId="164" fontId="17" fillId="12" borderId="2" xfId="0" applyFont="true" applyBorder="true" applyAlignment="true" applyProtection="false">
      <alignment horizontal="center" vertical="center" textRotation="0" wrapText="false" indent="0" shrinkToFit="false"/>
      <protection locked="true" hidden="false"/>
    </xf>
    <xf numFmtId="164" fontId="11" fillId="4" borderId="5" xfId="0" applyFont="true" applyBorder="true" applyAlignment="true" applyProtection="false">
      <alignment horizontal="left" vertical="center" textRotation="0" wrapText="false" indent="0" shrinkToFit="false"/>
      <protection locked="true" hidden="false"/>
    </xf>
    <xf numFmtId="164" fontId="0" fillId="9" borderId="2" xfId="0" applyFont="false" applyBorder="true" applyAlignment="true" applyProtection="false">
      <alignment horizontal="center" vertical="center" textRotation="0" wrapText="false" indent="0" shrinkToFit="false"/>
      <protection locked="true" hidden="false"/>
    </xf>
    <xf numFmtId="164" fontId="10" fillId="2" borderId="1" xfId="0" applyFont="true" applyBorder="true" applyAlignment="true" applyProtection="false">
      <alignment horizontal="left" vertical="center" textRotation="0" wrapText="false" indent="0" shrinkToFit="false"/>
      <protection locked="true" hidden="false"/>
    </xf>
    <xf numFmtId="164" fontId="12" fillId="4" borderId="0" xfId="0" applyFont="true" applyBorder="true" applyAlignment="true" applyProtection="false">
      <alignment horizontal="left" vertical="top" textRotation="0" wrapText="true" indent="0" shrinkToFit="false"/>
      <protection locked="true" hidden="false"/>
    </xf>
    <xf numFmtId="164" fontId="8" fillId="3" borderId="1" xfId="0" applyFont="true" applyBorder="true" applyAlignment="true" applyProtection="false">
      <alignment horizontal="left" vertical="center" textRotation="0" wrapText="false" indent="0" shrinkToFit="false"/>
      <protection locked="true" hidden="false"/>
    </xf>
    <xf numFmtId="164" fontId="18" fillId="2" borderId="4" xfId="0" applyFont="true" applyBorder="true" applyAlignment="true" applyProtection="false">
      <alignment horizontal="center" vertical="center" textRotation="0" wrapText="true" indent="0" shrinkToFit="false"/>
      <protection locked="true" hidden="false"/>
    </xf>
    <xf numFmtId="164" fontId="7" fillId="5" borderId="2" xfId="0" applyFont="true" applyBorder="true" applyAlignment="true" applyProtection="false">
      <alignment horizontal="center" vertical="center" textRotation="0" wrapText="false" indent="0" shrinkToFit="false"/>
      <protection locked="true" hidden="false"/>
    </xf>
    <xf numFmtId="164" fontId="7" fillId="10" borderId="2" xfId="0" applyFont="true" applyBorder="true" applyAlignment="true" applyProtection="false">
      <alignment horizontal="left" vertical="center" textRotation="0" wrapText="false" indent="0" shrinkToFit="false"/>
      <protection locked="true" hidden="false"/>
    </xf>
    <xf numFmtId="164" fontId="7" fillId="10" borderId="2" xfId="0" applyFont="true" applyBorder="true" applyAlignment="true" applyProtection="false">
      <alignment horizontal="center" vertical="center" textRotation="0" wrapText="false" indent="0" shrinkToFit="false"/>
      <protection locked="true" hidden="false"/>
    </xf>
    <xf numFmtId="164" fontId="11" fillId="5" borderId="2" xfId="0" applyFont="true" applyBorder="true" applyAlignment="true" applyProtection="false">
      <alignment horizontal="left" vertical="center" textRotation="0" wrapText="false" indent="0" shrinkToFit="false"/>
      <protection locked="true" hidden="false"/>
    </xf>
    <xf numFmtId="164" fontId="7" fillId="9" borderId="2" xfId="0" applyFont="true" applyBorder="true" applyAlignment="true" applyProtection="false">
      <alignment horizontal="center" vertical="center" textRotation="0" wrapText="false" indent="0" shrinkToFit="false"/>
      <protection locked="true" hidden="false"/>
    </xf>
    <xf numFmtId="164" fontId="15" fillId="9" borderId="2" xfId="0" applyFont="true" applyBorder="true" applyAlignment="true" applyProtection="false">
      <alignment horizontal="center" vertical="center" textRotation="0" wrapText="false" indent="0" shrinkToFit="false"/>
      <protection locked="true" hidden="false"/>
    </xf>
    <xf numFmtId="164" fontId="11" fillId="10" borderId="2" xfId="0" applyFont="true" applyBorder="true" applyAlignment="true" applyProtection="false">
      <alignment horizontal="left" vertical="center" textRotation="0" wrapText="false" indent="0" shrinkToFit="false"/>
      <protection locked="true" hidden="false"/>
    </xf>
    <xf numFmtId="164" fontId="6" fillId="4" borderId="4" xfId="0" applyFont="true" applyBorder="true" applyAlignment="true" applyProtection="false">
      <alignment horizontal="left" vertical="center" textRotation="0" wrapText="false" indent="0" shrinkToFit="false"/>
      <protection locked="true" hidden="false"/>
    </xf>
    <xf numFmtId="164" fontId="0" fillId="4" borderId="4" xfId="0" applyFont="false" applyBorder="true" applyAlignment="true" applyProtection="false">
      <alignment horizontal="center" vertical="center" textRotation="0" wrapText="false" indent="0" shrinkToFit="false"/>
      <protection locked="true" hidden="false"/>
    </xf>
    <xf numFmtId="165" fontId="17" fillId="4" borderId="4" xfId="0" applyFont="true" applyBorder="true" applyAlignment="true" applyProtection="false">
      <alignment horizontal="center" vertical="center" textRotation="0" wrapText="false" indent="0" shrinkToFit="false"/>
      <protection locked="true" hidden="false"/>
    </xf>
    <xf numFmtId="164" fontId="7" fillId="9" borderId="5" xfId="0" applyFont="true" applyBorder="true" applyAlignment="true" applyProtection="false">
      <alignment horizontal="center" vertical="center" textRotation="0" wrapText="false" indent="0" shrinkToFit="false"/>
      <protection locked="true" hidden="false"/>
    </xf>
    <xf numFmtId="164" fontId="7" fillId="5" borderId="5" xfId="0" applyFont="true" applyBorder="true" applyAlignment="true" applyProtection="false">
      <alignment horizontal="center" vertical="center" textRotation="0" wrapText="false" indent="0" shrinkToFit="false"/>
      <protection locked="true" hidden="false"/>
    </xf>
    <xf numFmtId="164" fontId="7" fillId="10" borderId="5" xfId="0" applyFont="true" applyBorder="true" applyAlignment="true" applyProtection="false">
      <alignment horizontal="center" vertical="center" textRotation="0" wrapText="false" indent="0" shrinkToFit="false"/>
      <protection locked="true" hidden="false"/>
    </xf>
    <xf numFmtId="164" fontId="7" fillId="8" borderId="3" xfId="0" applyFont="true" applyBorder="true" applyAlignment="true" applyProtection="false">
      <alignment horizontal="left" vertical="top" textRotation="0" wrapText="true" indent="0" shrinkToFit="false"/>
      <protection locked="true" hidden="false"/>
    </xf>
    <xf numFmtId="164" fontId="12" fillId="8" borderId="0" xfId="0" applyFont="true" applyBorder="true" applyAlignment="true" applyProtection="false">
      <alignment horizontal="left" vertical="center" textRotation="0" wrapText="false" indent="0" shrinkToFit="false"/>
      <protection locked="true" hidden="false"/>
    </xf>
    <xf numFmtId="164" fontId="11" fillId="5" borderId="2" xfId="0" applyFont="true" applyBorder="true" applyAlignment="true" applyProtection="false">
      <alignment horizontal="center" vertical="top" textRotation="0" wrapText="true" indent="0" shrinkToFit="false"/>
      <protection locked="true" hidden="false"/>
    </xf>
    <xf numFmtId="164" fontId="11" fillId="10" borderId="2" xfId="0" applyFont="true" applyBorder="true" applyAlignment="true" applyProtection="false">
      <alignment horizontal="center" vertical="top" textRotation="0" wrapText="true" indent="0" shrinkToFit="false"/>
      <protection locked="true" hidden="false"/>
    </xf>
    <xf numFmtId="164" fontId="19" fillId="8" borderId="3"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7B1A1A"/>
      <rgbColor rgb="FF008000"/>
      <rgbColor rgb="FF000080"/>
      <rgbColor rgb="FF856404"/>
      <rgbColor rgb="FF800080"/>
      <rgbColor rgb="FF008080"/>
      <rgbColor rgb="FFEDE7F6"/>
      <rgbColor rgb="FF808080"/>
      <rgbColor rgb="FF9999FF"/>
      <rgbColor rgb="FF993366"/>
      <rgbColor rgb="FFFFF8E1"/>
      <rgbColor rgb="FFE8F5E9"/>
      <rgbColor rgb="FF660066"/>
      <rgbColor rgb="FFFF8080"/>
      <rgbColor rgb="FF1F5C99"/>
      <rgbColor rgb="FFDDDDDD"/>
      <rgbColor rgb="FF000080"/>
      <rgbColor rgb="FFFF00FF"/>
      <rgbColor rgb="FFFFFF00"/>
      <rgbColor rgb="FF00FFFF"/>
      <rgbColor rgb="FF800080"/>
      <rgbColor rgb="FF800000"/>
      <rgbColor rgb="FF008080"/>
      <rgbColor rgb="FF0000FF"/>
      <rgbColor rgb="FF00CCFF"/>
      <rgbColor rgb="FFEEF3FA"/>
      <rgbColor rgb="FFF5F5F5"/>
      <rgbColor rgb="FFFDECEA"/>
      <rgbColor rgb="FF99CCFF"/>
      <rgbColor rgb="FFFF99CC"/>
      <rgbColor rgb="FFCC99FF"/>
      <rgbColor rgb="FFFFD966"/>
      <rgbColor rgb="FF2E75B6"/>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4A1A7B"/>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90"/>
  </cols>
  <sheetData>
    <row r="1" customFormat="false" ht="30" hidden="false" customHeight="true" outlineLevel="0" collapsed="false">
      <c r="A1" s="2" t="s">
        <v>0</v>
      </c>
      <c r="B1" s="2"/>
    </row>
    <row r="2" customFormat="false" ht="18" hidden="false" customHeight="true" outlineLevel="0" collapsed="false">
      <c r="A2" s="3" t="s">
        <v>1</v>
      </c>
      <c r="B2" s="3"/>
    </row>
    <row r="3" customFormat="false" ht="7.5" hidden="false" customHeight="true" outlineLevel="0" collapsed="false"/>
    <row r="4" customFormat="false" ht="39.75" hidden="false" customHeight="true" outlineLevel="0" collapsed="false">
      <c r="A4" s="4" t="s">
        <v>2</v>
      </c>
      <c r="B4" s="5" t="s">
        <v>3</v>
      </c>
    </row>
    <row r="5" customFormat="false" ht="39.75" hidden="false" customHeight="true" outlineLevel="0" collapsed="false">
      <c r="A5" s="4" t="s">
        <v>4</v>
      </c>
      <c r="B5" s="5" t="s">
        <v>5</v>
      </c>
    </row>
    <row r="6" customFormat="false" ht="39.75" hidden="false" customHeight="true" outlineLevel="0" collapsed="false">
      <c r="A6" s="4" t="s">
        <v>6</v>
      </c>
      <c r="B6" s="5" t="s">
        <v>7</v>
      </c>
    </row>
    <row r="7" customFormat="false" ht="39.75" hidden="false" customHeight="true" outlineLevel="0" collapsed="false">
      <c r="A7" s="4" t="s">
        <v>8</v>
      </c>
      <c r="B7" s="5" t="s">
        <v>9</v>
      </c>
    </row>
    <row r="8" customFormat="false" ht="39.75" hidden="false" customHeight="true" outlineLevel="0" collapsed="false">
      <c r="A8" s="4" t="s">
        <v>10</v>
      </c>
      <c r="B8" s="5" t="s">
        <v>11</v>
      </c>
    </row>
    <row r="9" customFormat="false" ht="39.75" hidden="false" customHeight="true" outlineLevel="0" collapsed="false">
      <c r="A9" s="4" t="s">
        <v>12</v>
      </c>
      <c r="B9" s="5" t="s">
        <v>13</v>
      </c>
    </row>
    <row r="10" customFormat="false" ht="39.75" hidden="false" customHeight="true" outlineLevel="0" collapsed="false">
      <c r="A10" s="4" t="s">
        <v>14</v>
      </c>
      <c r="B10" s="5" t="s">
        <v>15</v>
      </c>
    </row>
    <row r="11" customFormat="false" ht="19.5" hidden="false" customHeight="true" outlineLevel="0" collapsed="false">
      <c r="A11" s="6" t="s">
        <v>16</v>
      </c>
      <c r="B11" s="6"/>
    </row>
    <row r="12" customFormat="false" ht="19.5" hidden="false" customHeight="true" outlineLevel="0" collapsed="false">
      <c r="A12" s="7" t="s">
        <v>17</v>
      </c>
      <c r="B12" s="8" t="s">
        <v>18</v>
      </c>
    </row>
    <row r="13" customFormat="false" ht="19.5" hidden="false" customHeight="true" outlineLevel="0" collapsed="false">
      <c r="A13" s="7" t="s">
        <v>19</v>
      </c>
      <c r="B13" s="8" t="s">
        <v>20</v>
      </c>
    </row>
    <row r="14" customFormat="false" ht="19.5" hidden="false" customHeight="true" outlineLevel="0" collapsed="false">
      <c r="A14" s="7" t="s">
        <v>21</v>
      </c>
      <c r="B14" s="8" t="s">
        <v>22</v>
      </c>
    </row>
    <row r="15" customFormat="false" ht="19.5" hidden="false" customHeight="true" outlineLevel="0" collapsed="false">
      <c r="A15" s="7" t="s">
        <v>23</v>
      </c>
      <c r="B15" s="8" t="s">
        <v>24</v>
      </c>
    </row>
    <row r="16" customFormat="false" ht="19.5" hidden="false" customHeight="true" outlineLevel="0" collapsed="false">
      <c r="A16" s="7" t="s">
        <v>25</v>
      </c>
      <c r="B16" s="8" t="s">
        <v>26</v>
      </c>
    </row>
    <row r="18" customFormat="false" ht="19.5" hidden="false" customHeight="true" outlineLevel="0" collapsed="false">
      <c r="A18" s="9" t="s">
        <v>27</v>
      </c>
      <c r="B18" s="9"/>
    </row>
    <row r="19" customFormat="false" ht="39.75" hidden="false" customHeight="true" outlineLevel="0" collapsed="false">
      <c r="A19" s="10" t="s">
        <v>28</v>
      </c>
      <c r="B19" s="5" t="s">
        <v>29</v>
      </c>
    </row>
    <row r="20" customFormat="false" ht="39.75" hidden="false" customHeight="true" outlineLevel="0" collapsed="false">
      <c r="A20" s="10" t="s">
        <v>30</v>
      </c>
      <c r="B20" s="5" t="s">
        <v>31</v>
      </c>
    </row>
    <row r="21" customFormat="false" ht="39.75" hidden="false" customHeight="true" outlineLevel="0" collapsed="false">
      <c r="A21" s="10" t="s">
        <v>32</v>
      </c>
      <c r="B21" s="5" t="s">
        <v>33</v>
      </c>
    </row>
    <row r="22" customFormat="false" ht="39.75" hidden="false" customHeight="true" outlineLevel="0" collapsed="false">
      <c r="A22" s="10" t="s">
        <v>34</v>
      </c>
      <c r="B22" s="5" t="s">
        <v>35</v>
      </c>
    </row>
    <row r="23" customFormat="false" ht="39.75" hidden="false" customHeight="true" outlineLevel="0" collapsed="false">
      <c r="A23" s="10" t="s">
        <v>36</v>
      </c>
      <c r="B23" s="5" t="s">
        <v>37</v>
      </c>
    </row>
    <row r="24" customFormat="false" ht="39.75" hidden="false" customHeight="true" outlineLevel="0" collapsed="false">
      <c r="A24" s="10" t="s">
        <v>38</v>
      </c>
      <c r="B24" s="5" t="s">
        <v>39</v>
      </c>
    </row>
  </sheetData>
  <mergeCells count="4">
    <mergeCell ref="A1:B1"/>
    <mergeCell ref="A2:B2"/>
    <mergeCell ref="A11:B11"/>
    <mergeCell ref="A18:B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40"/>
    <col collapsed="false" customWidth="true" hidden="false" outlineLevel="0" max="3" min="3" style="1" width="14"/>
    <col collapsed="false" customWidth="true" hidden="false" outlineLevel="0" max="6" min="4" style="1" width="12"/>
    <col collapsed="false" customWidth="true" hidden="false" outlineLevel="0" max="7" min="7" style="1" width="16"/>
    <col collapsed="false" customWidth="true" hidden="false" outlineLevel="0" max="8" min="8" style="1" width="14"/>
    <col collapsed="false" customWidth="true" hidden="false" outlineLevel="0" max="9" min="9" style="1" width="40"/>
  </cols>
  <sheetData>
    <row r="1" customFormat="false" ht="27.75" hidden="false" customHeight="true" outlineLevel="0" collapsed="false">
      <c r="A1" s="11" t="s">
        <v>40</v>
      </c>
      <c r="B1" s="11"/>
      <c r="C1" s="11"/>
      <c r="D1" s="11"/>
      <c r="E1" s="11"/>
      <c r="F1" s="11"/>
      <c r="G1" s="11"/>
      <c r="H1" s="11"/>
      <c r="I1" s="11"/>
    </row>
    <row r="2" customFormat="false" ht="21.75" hidden="false" customHeight="true" outlineLevel="0" collapsed="false">
      <c r="A2" s="12" t="s">
        <v>41</v>
      </c>
      <c r="B2" s="12"/>
      <c r="C2" s="12"/>
      <c r="D2" s="12" t="s">
        <v>42</v>
      </c>
      <c r="E2" s="12"/>
      <c r="F2" s="12"/>
      <c r="G2" s="12" t="s">
        <v>43</v>
      </c>
      <c r="H2" s="12"/>
      <c r="I2" s="12"/>
    </row>
    <row r="3" customFormat="false" ht="54.75" hidden="false" customHeight="true" outlineLevel="0" collapsed="false">
      <c r="A3" s="13" t="s">
        <v>44</v>
      </c>
      <c r="B3" s="13"/>
      <c r="C3" s="13"/>
      <c r="D3" s="13"/>
      <c r="E3" s="13"/>
      <c r="F3" s="13"/>
      <c r="G3" s="13"/>
      <c r="H3" s="13"/>
      <c r="I3" s="13"/>
    </row>
    <row r="4" customFormat="false" ht="54.75" hidden="false" customHeight="true" outlineLevel="0" collapsed="false">
      <c r="A4" s="14" t="s">
        <v>45</v>
      </c>
      <c r="B4" s="14" t="s">
        <v>46</v>
      </c>
      <c r="C4" s="14" t="s">
        <v>47</v>
      </c>
      <c r="D4" s="14" t="s">
        <v>48</v>
      </c>
      <c r="E4" s="14" t="s">
        <v>49</v>
      </c>
      <c r="F4" s="14" t="s">
        <v>50</v>
      </c>
      <c r="G4" s="14" t="s">
        <v>51</v>
      </c>
      <c r="H4" s="14" t="s">
        <v>52</v>
      </c>
      <c r="I4" s="14" t="s">
        <v>53</v>
      </c>
    </row>
    <row r="5" customFormat="false" ht="49.5" hidden="false" customHeight="true" outlineLevel="0" collapsed="false">
      <c r="A5" s="15" t="n">
        <v>1</v>
      </c>
      <c r="B5" s="5" t="s">
        <v>54</v>
      </c>
      <c r="C5" s="16"/>
      <c r="D5" s="16"/>
      <c r="E5" s="16"/>
      <c r="F5" s="16"/>
      <c r="G5" s="16"/>
      <c r="H5" s="16"/>
      <c r="I5" s="5"/>
    </row>
    <row r="6" customFormat="false" ht="49.5" hidden="false" customHeight="true" outlineLevel="0" collapsed="false">
      <c r="A6" s="17" t="n">
        <v>2</v>
      </c>
      <c r="B6" s="18" t="s">
        <v>55</v>
      </c>
      <c r="C6" s="16"/>
      <c r="D6" s="16"/>
      <c r="E6" s="16"/>
      <c r="F6" s="16"/>
      <c r="G6" s="16"/>
      <c r="H6" s="16"/>
      <c r="I6" s="18"/>
    </row>
    <row r="7" customFormat="false" ht="49.5" hidden="false" customHeight="true" outlineLevel="0" collapsed="false">
      <c r="A7" s="15" t="n">
        <v>3</v>
      </c>
      <c r="B7" s="5" t="s">
        <v>56</v>
      </c>
      <c r="C7" s="16"/>
      <c r="D7" s="16"/>
      <c r="E7" s="16"/>
      <c r="F7" s="16"/>
      <c r="G7" s="16"/>
      <c r="H7" s="16"/>
      <c r="I7" s="5"/>
    </row>
    <row r="8" customFormat="false" ht="49.5" hidden="false" customHeight="true" outlineLevel="0" collapsed="false">
      <c r="A8" s="17" t="n">
        <v>4</v>
      </c>
      <c r="B8" s="18" t="s">
        <v>57</v>
      </c>
      <c r="C8" s="16"/>
      <c r="D8" s="16"/>
      <c r="E8" s="16"/>
      <c r="F8" s="16"/>
      <c r="G8" s="16"/>
      <c r="H8" s="16"/>
      <c r="I8" s="18"/>
    </row>
    <row r="9" customFormat="false" ht="49.5" hidden="false" customHeight="true" outlineLevel="0" collapsed="false">
      <c r="A9" s="15" t="n">
        <v>5</v>
      </c>
      <c r="B9" s="5" t="s">
        <v>58</v>
      </c>
      <c r="C9" s="16"/>
      <c r="D9" s="16"/>
      <c r="E9" s="16"/>
      <c r="F9" s="16"/>
      <c r="G9" s="16"/>
      <c r="H9" s="16"/>
      <c r="I9" s="5"/>
    </row>
    <row r="10" customFormat="false" ht="49.5" hidden="false" customHeight="true" outlineLevel="0" collapsed="false">
      <c r="A10" s="17" t="n">
        <v>6</v>
      </c>
      <c r="B10" s="18" t="s">
        <v>59</v>
      </c>
      <c r="C10" s="16"/>
      <c r="D10" s="16"/>
      <c r="E10" s="16"/>
      <c r="F10" s="16"/>
      <c r="G10" s="16"/>
      <c r="H10" s="16"/>
      <c r="I10" s="18"/>
    </row>
    <row r="11" customFormat="false" ht="49.5" hidden="false" customHeight="true" outlineLevel="0" collapsed="false">
      <c r="A11" s="15" t="n">
        <v>7</v>
      </c>
      <c r="B11" s="5" t="s">
        <v>60</v>
      </c>
      <c r="C11" s="16"/>
      <c r="D11" s="16"/>
      <c r="E11" s="16"/>
      <c r="F11" s="16"/>
      <c r="G11" s="16"/>
      <c r="H11" s="16"/>
      <c r="I11" s="5"/>
    </row>
    <row r="12" customFormat="false" ht="49.5" hidden="false" customHeight="true" outlineLevel="0" collapsed="false">
      <c r="A12" s="17" t="n">
        <v>8</v>
      </c>
      <c r="B12" s="18" t="s">
        <v>61</v>
      </c>
      <c r="C12" s="16"/>
      <c r="D12" s="16"/>
      <c r="E12" s="16"/>
      <c r="F12" s="16"/>
      <c r="G12" s="16"/>
      <c r="H12" s="16"/>
      <c r="I12" s="18"/>
    </row>
    <row r="13" customFormat="false" ht="49.5" hidden="false" customHeight="true" outlineLevel="0" collapsed="false">
      <c r="A13" s="15" t="n">
        <v>9</v>
      </c>
      <c r="B13" s="5" t="s">
        <v>62</v>
      </c>
      <c r="C13" s="16"/>
      <c r="D13" s="16"/>
      <c r="E13" s="16"/>
      <c r="F13" s="16"/>
      <c r="G13" s="16"/>
      <c r="H13" s="16"/>
      <c r="I13" s="5"/>
    </row>
    <row r="14" customFormat="false" ht="49.5" hidden="false" customHeight="true" outlineLevel="0" collapsed="false">
      <c r="A14" s="17" t="n">
        <v>10</v>
      </c>
      <c r="B14" s="18" t="s">
        <v>63</v>
      </c>
      <c r="C14" s="16"/>
      <c r="D14" s="16"/>
      <c r="E14" s="16"/>
      <c r="F14" s="16"/>
      <c r="G14" s="16"/>
      <c r="H14" s="16"/>
      <c r="I14" s="18"/>
    </row>
    <row r="15" customFormat="false" ht="49.5" hidden="false" customHeight="true" outlineLevel="0" collapsed="false">
      <c r="A15" s="15" t="n">
        <v>11</v>
      </c>
      <c r="B15" s="5" t="s">
        <v>64</v>
      </c>
      <c r="C15" s="16"/>
      <c r="D15" s="16"/>
      <c r="E15" s="16"/>
      <c r="F15" s="16"/>
      <c r="G15" s="16"/>
      <c r="H15" s="16"/>
      <c r="I15" s="5"/>
    </row>
    <row r="16" customFormat="false" ht="49.5" hidden="false" customHeight="true" outlineLevel="0" collapsed="false">
      <c r="A16" s="17" t="n">
        <v>12</v>
      </c>
      <c r="B16" s="18" t="s">
        <v>65</v>
      </c>
      <c r="C16" s="16"/>
      <c r="D16" s="16"/>
      <c r="E16" s="16"/>
      <c r="F16" s="16"/>
      <c r="G16" s="16"/>
      <c r="H16" s="16"/>
      <c r="I16" s="18"/>
    </row>
    <row r="17" customFormat="false" ht="49.5" hidden="false" customHeight="true" outlineLevel="0" collapsed="false">
      <c r="A17" s="15" t="n">
        <v>13</v>
      </c>
      <c r="B17" s="5" t="s">
        <v>66</v>
      </c>
      <c r="C17" s="16"/>
      <c r="D17" s="16"/>
      <c r="E17" s="16"/>
      <c r="F17" s="16"/>
      <c r="G17" s="16"/>
      <c r="H17" s="16"/>
      <c r="I17" s="5"/>
    </row>
    <row r="18" customFormat="false" ht="49.5" hidden="false" customHeight="true" outlineLevel="0" collapsed="false">
      <c r="A18" s="17" t="n">
        <v>14</v>
      </c>
      <c r="B18" s="18" t="s">
        <v>67</v>
      </c>
      <c r="C18" s="16"/>
      <c r="D18" s="16"/>
      <c r="E18" s="16"/>
      <c r="F18" s="16"/>
      <c r="G18" s="16"/>
      <c r="H18" s="16"/>
      <c r="I18" s="18"/>
    </row>
    <row r="19" customFormat="false" ht="49.5" hidden="false" customHeight="true" outlineLevel="0" collapsed="false">
      <c r="A19" s="15" t="n">
        <v>15</v>
      </c>
      <c r="B19" s="5" t="s">
        <v>68</v>
      </c>
      <c r="C19" s="16"/>
      <c r="D19" s="16"/>
      <c r="E19" s="16"/>
      <c r="F19" s="16"/>
      <c r="G19" s="16"/>
      <c r="H19" s="16"/>
      <c r="I19" s="5"/>
    </row>
    <row r="20" customFormat="false" ht="49.5" hidden="false" customHeight="true" outlineLevel="0" collapsed="false">
      <c r="A20" s="19" t="n">
        <v>16</v>
      </c>
      <c r="B20" s="20" t="s">
        <v>69</v>
      </c>
      <c r="C20" s="16"/>
      <c r="D20" s="16"/>
      <c r="E20" s="16"/>
      <c r="F20" s="16"/>
      <c r="G20" s="16"/>
      <c r="H20" s="16"/>
      <c r="I20" s="21"/>
    </row>
    <row r="21" customFormat="false" ht="49.5" hidden="false" customHeight="true" outlineLevel="0" collapsed="false">
      <c r="A21" s="19" t="n">
        <v>17</v>
      </c>
      <c r="B21" s="20" t="s">
        <v>69</v>
      </c>
      <c r="C21" s="16"/>
      <c r="D21" s="16"/>
      <c r="E21" s="16"/>
      <c r="F21" s="16"/>
      <c r="G21" s="16"/>
      <c r="H21" s="16"/>
      <c r="I21" s="21"/>
    </row>
    <row r="22" customFormat="false" ht="49.5" hidden="false" customHeight="true" outlineLevel="0" collapsed="false">
      <c r="A22" s="19" t="n">
        <v>18</v>
      </c>
      <c r="B22" s="20" t="s">
        <v>70</v>
      </c>
      <c r="C22" s="16"/>
      <c r="D22" s="16"/>
      <c r="E22" s="16"/>
      <c r="F22" s="16"/>
      <c r="G22" s="16"/>
      <c r="H22" s="16"/>
      <c r="I22" s="21"/>
    </row>
    <row r="23" customFormat="false" ht="49.5" hidden="false" customHeight="true" outlineLevel="0" collapsed="false">
      <c r="A23" s="19" t="n">
        <v>19</v>
      </c>
      <c r="B23" s="20" t="s">
        <v>71</v>
      </c>
      <c r="C23" s="16"/>
      <c r="D23" s="16"/>
      <c r="E23" s="16"/>
      <c r="F23" s="16"/>
      <c r="G23" s="16"/>
      <c r="H23" s="16"/>
      <c r="I23" s="21"/>
    </row>
    <row r="24" customFormat="false" ht="49.5" hidden="false" customHeight="true" outlineLevel="0" collapsed="false">
      <c r="A24" s="19" t="n">
        <v>20</v>
      </c>
      <c r="B24" s="20" t="s">
        <v>72</v>
      </c>
      <c r="C24" s="16"/>
      <c r="D24" s="16"/>
      <c r="E24" s="16"/>
      <c r="F24" s="16"/>
      <c r="G24" s="16"/>
      <c r="H24" s="16"/>
      <c r="I24" s="21"/>
    </row>
    <row r="25" customFormat="false" ht="21.75" hidden="false" customHeight="true" outlineLevel="0" collapsed="false">
      <c r="A25" s="22" t="s">
        <v>73</v>
      </c>
      <c r="B25" s="22"/>
      <c r="C25" s="22"/>
      <c r="D25" s="22"/>
      <c r="E25" s="22"/>
      <c r="F25" s="22"/>
      <c r="G25" s="22"/>
      <c r="H25" s="22"/>
      <c r="I25" s="22"/>
    </row>
    <row r="27" customFormat="false" ht="21.75" hidden="false" customHeight="true" outlineLevel="0" collapsed="false">
      <c r="A27" s="23" t="s">
        <v>74</v>
      </c>
      <c r="B27" s="23"/>
      <c r="C27" s="24"/>
      <c r="D27" s="24" t="s">
        <v>75</v>
      </c>
      <c r="E27" s="24" t="s">
        <v>76</v>
      </c>
      <c r="F27" s="24" t="s">
        <v>77</v>
      </c>
      <c r="G27" s="25"/>
      <c r="H27" s="25"/>
      <c r="I27" s="25"/>
    </row>
    <row r="28" customFormat="false" ht="21.75" hidden="false" customHeight="true" outlineLevel="0" collapsed="false">
      <c r="A28" s="25"/>
      <c r="B28" s="25"/>
      <c r="C28" s="25"/>
      <c r="D28" s="26" t="str">
        <f aca="false">IFERROR(AVERAGE(D5:D19),"")</f>
        <v/>
      </c>
      <c r="E28" s="26" t="str">
        <f aca="false">IFERROR(AVERAGE(E5:E19),"")</f>
        <v/>
      </c>
      <c r="F28" s="26" t="str">
        <f aca="false">IFERROR(AVERAGE(F5:F19),"")</f>
        <v/>
      </c>
      <c r="G28" s="25"/>
      <c r="H28" s="25"/>
      <c r="I28" s="25"/>
    </row>
    <row r="30" customFormat="false" ht="21.75" hidden="false" customHeight="true" outlineLevel="0" collapsed="false">
      <c r="A30" s="27" t="s">
        <v>78</v>
      </c>
      <c r="B30" s="27"/>
      <c r="C30" s="27"/>
      <c r="D30" s="28"/>
      <c r="E30" s="25"/>
      <c r="F30" s="25"/>
      <c r="G30" s="25"/>
      <c r="H30" s="25"/>
      <c r="I30" s="25"/>
    </row>
  </sheetData>
  <mergeCells count="9">
    <mergeCell ref="A1:I1"/>
    <mergeCell ref="A2:C2"/>
    <mergeCell ref="D2:F2"/>
    <mergeCell ref="G2:I2"/>
    <mergeCell ref="A3:I3"/>
    <mergeCell ref="A25:I25"/>
    <mergeCell ref="A27:B27"/>
    <mergeCell ref="A28:B28"/>
    <mergeCell ref="A30:C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2" min="2" style="1" width="14"/>
    <col collapsed="false" customWidth="true" hidden="false" outlineLevel="0" max="3" min="3" style="1" width="20"/>
    <col collapsed="false" customWidth="true" hidden="false" outlineLevel="0" max="4" min="4" style="1" width="18"/>
    <col collapsed="false" customWidth="true" hidden="false" outlineLevel="0" max="5" min="5" style="1" width="20"/>
  </cols>
  <sheetData>
    <row r="1" customFormat="false" ht="27.75" hidden="false" customHeight="true" outlineLevel="0" collapsed="false">
      <c r="A1" s="29" t="s">
        <v>79</v>
      </c>
      <c r="B1" s="29"/>
      <c r="C1" s="29"/>
      <c r="D1" s="29"/>
      <c r="E1" s="29"/>
    </row>
    <row r="2" customFormat="false" ht="49.5" hidden="false" customHeight="true" outlineLevel="0" collapsed="false">
      <c r="A2" s="30" t="s">
        <v>80</v>
      </c>
      <c r="B2" s="30"/>
      <c r="C2" s="30"/>
      <c r="D2" s="30"/>
      <c r="E2" s="30"/>
    </row>
    <row r="3" customFormat="false" ht="7.5" hidden="false" customHeight="true" outlineLevel="0" collapsed="false"/>
    <row r="4" customFormat="false" ht="21.75" hidden="false" customHeight="true" outlineLevel="0" collapsed="false">
      <c r="A4" s="31" t="s">
        <v>81</v>
      </c>
      <c r="B4" s="31"/>
      <c r="C4" s="31"/>
      <c r="D4" s="31"/>
      <c r="E4" s="31"/>
    </row>
    <row r="5" customFormat="false" ht="30" hidden="false" customHeight="true" outlineLevel="0" collapsed="false">
      <c r="A5" s="32" t="s">
        <v>82</v>
      </c>
      <c r="B5" s="32" t="s">
        <v>83</v>
      </c>
      <c r="C5" s="32" t="s">
        <v>84</v>
      </c>
      <c r="D5" s="32" t="s">
        <v>85</v>
      </c>
      <c r="E5" s="32" t="s">
        <v>86</v>
      </c>
    </row>
    <row r="6" customFormat="false" ht="21.75" hidden="false" customHeight="true" outlineLevel="0" collapsed="false">
      <c r="A6" s="8" t="s">
        <v>87</v>
      </c>
      <c r="B6" s="33" t="s">
        <v>88</v>
      </c>
      <c r="C6" s="33" t="s">
        <v>89</v>
      </c>
      <c r="D6" s="33" t="s">
        <v>90</v>
      </c>
      <c r="E6" s="33" t="s">
        <v>91</v>
      </c>
    </row>
    <row r="7" customFormat="false" ht="21.75" hidden="false" customHeight="true" outlineLevel="0" collapsed="false">
      <c r="A7" s="34" t="s">
        <v>92</v>
      </c>
      <c r="B7" s="35" t="s">
        <v>93</v>
      </c>
      <c r="C7" s="35" t="s">
        <v>94</v>
      </c>
      <c r="D7" s="35" t="s">
        <v>95</v>
      </c>
      <c r="E7" s="35" t="s">
        <v>96</v>
      </c>
    </row>
    <row r="8" customFormat="false" ht="21.75" hidden="false" customHeight="true" outlineLevel="0" collapsed="false">
      <c r="A8" s="8" t="s">
        <v>97</v>
      </c>
      <c r="B8" s="33" t="s">
        <v>98</v>
      </c>
      <c r="C8" s="33" t="s">
        <v>99</v>
      </c>
      <c r="D8" s="33" t="s">
        <v>100</v>
      </c>
      <c r="E8" s="33" t="s">
        <v>101</v>
      </c>
    </row>
    <row r="9" customFormat="false" ht="7.5" hidden="false" customHeight="true" outlineLevel="0" collapsed="false"/>
    <row r="10" customFormat="false" ht="21.75" hidden="false" customHeight="true" outlineLevel="0" collapsed="false">
      <c r="A10" s="31" t="s">
        <v>102</v>
      </c>
      <c r="B10" s="31"/>
      <c r="C10" s="31"/>
      <c r="D10" s="31"/>
      <c r="E10" s="31"/>
    </row>
    <row r="11" customFormat="false" ht="34.5" hidden="false" customHeight="true" outlineLevel="0" collapsed="false">
      <c r="A11" s="32" t="s">
        <v>103</v>
      </c>
      <c r="B11" s="32" t="s">
        <v>104</v>
      </c>
      <c r="C11" s="32" t="s">
        <v>105</v>
      </c>
      <c r="D11" s="32" t="s">
        <v>106</v>
      </c>
      <c r="E11" s="32" t="s">
        <v>107</v>
      </c>
    </row>
    <row r="12" customFormat="false" ht="21.75" hidden="false" customHeight="true" outlineLevel="0" collapsed="false">
      <c r="A12" s="36" t="s">
        <v>83</v>
      </c>
      <c r="B12" s="33" t="s">
        <v>108</v>
      </c>
      <c r="C12" s="37"/>
      <c r="D12" s="33" t="n">
        <f aca="false">C13*0.45</f>
        <v>0</v>
      </c>
      <c r="E12" s="38" t="s">
        <v>109</v>
      </c>
    </row>
    <row r="13" customFormat="false" ht="21.75" hidden="false" customHeight="true" outlineLevel="0" collapsed="false">
      <c r="A13" s="39" t="s">
        <v>84</v>
      </c>
      <c r="B13" s="35" t="s">
        <v>110</v>
      </c>
      <c r="C13" s="37"/>
      <c r="D13" s="35" t="n">
        <f aca="false">C14*0.35</f>
        <v>0</v>
      </c>
      <c r="E13" s="38" t="s">
        <v>109</v>
      </c>
    </row>
    <row r="14" customFormat="false" ht="21.75" hidden="false" customHeight="true" outlineLevel="0" collapsed="false">
      <c r="A14" s="36" t="s">
        <v>85</v>
      </c>
      <c r="B14" s="33" t="s">
        <v>111</v>
      </c>
      <c r="C14" s="37"/>
      <c r="D14" s="33" t="n">
        <f aca="false">C15*0.2</f>
        <v>0</v>
      </c>
      <c r="E14" s="38" t="s">
        <v>109</v>
      </c>
    </row>
    <row r="15" customFormat="false" ht="24.75" hidden="false" customHeight="true" outlineLevel="0" collapsed="false">
      <c r="A15" s="40" t="s">
        <v>112</v>
      </c>
      <c r="B15" s="41"/>
      <c r="C15" s="41"/>
      <c r="D15" s="42" t="n">
        <f aca="false">D12+D13+D14</f>
        <v>0</v>
      </c>
      <c r="E15" s="41"/>
    </row>
    <row r="16" customFormat="false" ht="7.5" hidden="false" customHeight="true" outlineLevel="0" collapsed="false"/>
    <row r="17" customFormat="false" ht="21.75" hidden="false" customHeight="true" outlineLevel="0" collapsed="false">
      <c r="A17" s="31" t="s">
        <v>113</v>
      </c>
      <c r="B17" s="31"/>
      <c r="C17" s="31"/>
      <c r="D17" s="31"/>
      <c r="E17" s="31"/>
    </row>
    <row r="18" customFormat="false" ht="21.75" hidden="false" customHeight="true" outlineLevel="0" collapsed="false">
      <c r="A18" s="36" t="s">
        <v>114</v>
      </c>
      <c r="B18" s="43"/>
      <c r="C18" s="43"/>
      <c r="D18" s="43"/>
      <c r="E18" s="43"/>
    </row>
    <row r="19" customFormat="false" ht="21.75" hidden="false" customHeight="true" outlineLevel="0" collapsed="false">
      <c r="A19" s="39" t="s">
        <v>115</v>
      </c>
      <c r="B19" s="43"/>
      <c r="C19" s="43"/>
      <c r="D19" s="43"/>
      <c r="E19" s="43"/>
    </row>
    <row r="20" customFormat="false" ht="21.75" hidden="false" customHeight="true" outlineLevel="0" collapsed="false">
      <c r="A20" s="36" t="s">
        <v>116</v>
      </c>
      <c r="B20" s="44" t="str">
        <f aca="false">IFERROR(B19/B18,"")</f>
        <v/>
      </c>
      <c r="C20" s="44"/>
      <c r="D20" s="44"/>
      <c r="E20" s="44"/>
    </row>
    <row r="21" customFormat="false" ht="21.75" hidden="false" customHeight="true" outlineLevel="0" collapsed="false">
      <c r="A21" s="39" t="s">
        <v>117</v>
      </c>
      <c r="B21" s="45" t="s">
        <v>118</v>
      </c>
      <c r="C21" s="45"/>
      <c r="D21" s="45"/>
      <c r="E21" s="45"/>
    </row>
    <row r="22" customFormat="false" ht="21.75" hidden="false" customHeight="true" outlineLevel="0" collapsed="false">
      <c r="A22" s="36" t="s">
        <v>119</v>
      </c>
      <c r="B22" s="44" t="s">
        <v>120</v>
      </c>
      <c r="C22" s="44"/>
      <c r="D22" s="44"/>
      <c r="E22" s="44"/>
    </row>
    <row r="23" customFormat="false" ht="7.5" hidden="false" customHeight="true" outlineLevel="0" collapsed="false"/>
    <row r="24" customFormat="false" ht="69.75" hidden="false" customHeight="true" outlineLevel="0" collapsed="false">
      <c r="A24" s="46" t="s">
        <v>121</v>
      </c>
      <c r="B24" s="46"/>
      <c r="C24" s="46"/>
      <c r="D24" s="46"/>
      <c r="E24" s="46"/>
    </row>
  </sheetData>
  <mergeCells count="11">
    <mergeCell ref="A1:E1"/>
    <mergeCell ref="A2:E2"/>
    <mergeCell ref="A4:E4"/>
    <mergeCell ref="A10:E10"/>
    <mergeCell ref="A17:E17"/>
    <mergeCell ref="B18:E18"/>
    <mergeCell ref="B19:E19"/>
    <mergeCell ref="B20:E20"/>
    <mergeCell ref="B21:E21"/>
    <mergeCell ref="B22:E22"/>
    <mergeCell ref="A24:E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10"/>
    <col collapsed="false" customWidth="true" hidden="false" outlineLevel="0" max="5" min="3" style="1" width="45"/>
  </cols>
  <sheetData>
    <row r="1" customFormat="false" ht="27.75" hidden="false" customHeight="true" outlineLevel="0" collapsed="false">
      <c r="A1" s="29" t="s">
        <v>122</v>
      </c>
      <c r="B1" s="29"/>
      <c r="C1" s="29"/>
      <c r="D1" s="29"/>
      <c r="E1" s="29"/>
    </row>
    <row r="2" customFormat="false" ht="21.75" hidden="false" customHeight="true" outlineLevel="0" collapsed="false">
      <c r="A2" s="47" t="s">
        <v>123</v>
      </c>
      <c r="B2" s="47"/>
      <c r="C2" s="47"/>
      <c r="D2" s="47"/>
      <c r="E2" s="47"/>
    </row>
    <row r="3" customFormat="false" ht="45" hidden="false" customHeight="true" outlineLevel="0" collapsed="false">
      <c r="A3" s="14" t="s">
        <v>124</v>
      </c>
      <c r="B3" s="14" t="s">
        <v>125</v>
      </c>
      <c r="C3" s="14" t="s">
        <v>126</v>
      </c>
      <c r="D3" s="14" t="s">
        <v>127</v>
      </c>
      <c r="E3" s="14" t="s">
        <v>128</v>
      </c>
    </row>
    <row r="4" customFormat="false" ht="69.75" hidden="false" customHeight="true" outlineLevel="0" collapsed="false">
      <c r="A4" s="48" t="s">
        <v>129</v>
      </c>
      <c r="B4" s="48" t="s">
        <v>130</v>
      </c>
      <c r="C4" s="5" t="s">
        <v>131</v>
      </c>
      <c r="D4" s="5" t="s">
        <v>132</v>
      </c>
      <c r="E4" s="5" t="s">
        <v>133</v>
      </c>
    </row>
    <row r="5" customFormat="false" ht="69.75" hidden="false" customHeight="true" outlineLevel="0" collapsed="false">
      <c r="A5" s="49" t="s">
        <v>134</v>
      </c>
      <c r="B5" s="49" t="s">
        <v>135</v>
      </c>
      <c r="C5" s="18" t="s">
        <v>136</v>
      </c>
      <c r="D5" s="18" t="s">
        <v>137</v>
      </c>
      <c r="E5" s="18" t="s">
        <v>138</v>
      </c>
    </row>
    <row r="6" customFormat="false" ht="69.75" hidden="false" customHeight="true" outlineLevel="0" collapsed="false">
      <c r="A6" s="48" t="s">
        <v>139</v>
      </c>
      <c r="B6" s="48" t="s">
        <v>140</v>
      </c>
      <c r="C6" s="5" t="s">
        <v>141</v>
      </c>
      <c r="D6" s="5" t="s">
        <v>142</v>
      </c>
      <c r="E6" s="5" t="s">
        <v>143</v>
      </c>
    </row>
    <row r="7" customFormat="false" ht="69.75" hidden="false" customHeight="true" outlineLevel="0" collapsed="false">
      <c r="A7" s="49" t="s">
        <v>144</v>
      </c>
      <c r="B7" s="49" t="s">
        <v>145</v>
      </c>
      <c r="C7" s="18" t="s">
        <v>146</v>
      </c>
      <c r="D7" s="18" t="s">
        <v>147</v>
      </c>
      <c r="E7" s="18" t="s">
        <v>148</v>
      </c>
    </row>
    <row r="8" customFormat="false" ht="69.75" hidden="false" customHeight="true" outlineLevel="0" collapsed="false">
      <c r="A8" s="48" t="s">
        <v>149</v>
      </c>
      <c r="B8" s="48" t="s">
        <v>150</v>
      </c>
      <c r="C8" s="5" t="s">
        <v>151</v>
      </c>
      <c r="D8" s="5" t="s">
        <v>152</v>
      </c>
      <c r="E8" s="5" t="s">
        <v>153</v>
      </c>
    </row>
    <row r="9" customFormat="false" ht="34.5" hidden="false" customHeight="true" outlineLevel="0" collapsed="false">
      <c r="A9" s="50" t="s">
        <v>154</v>
      </c>
      <c r="B9" s="50"/>
      <c r="C9" s="50"/>
      <c r="D9" s="50"/>
      <c r="E9" s="50"/>
    </row>
  </sheetData>
  <mergeCells count="3">
    <mergeCell ref="A1:E1"/>
    <mergeCell ref="A2:E2"/>
    <mergeCell ref="A9:E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2026-05-23T00:14:08Z</dcterms:created>
  <dc:creator>openpyxl</dc:creator>
  <dc:description/>
  <dc:language>en-US</dc:language>
  <cp:lastModifiedBy/>
  <dcterms:modified xsi:type="dcterms:W3CDTF">2026-05-23T00:14:18Z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