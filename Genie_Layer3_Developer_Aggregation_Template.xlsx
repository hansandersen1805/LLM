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sheetId="1" state="visible" r:id="rId1"/>
    <sheet xmlns:r="http://schemas.openxmlformats.org/officeDocument/2006/relationships" name="Scores" sheetId="2" state="visible" r:id="rId2"/>
    <sheet xmlns:r="http://schemas.openxmlformats.org/officeDocument/2006/relationships" name="Resul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25">
    <font>
      <name val="Calibri"/>
      <family val="2"/>
      <color theme="1"/>
      <sz val="11"/>
      <scheme val="minor"/>
    </font>
    <font>
      <name val="Arial"/>
      <color rgb="004A4A4A"/>
      <sz val="10"/>
    </font>
    <font>
      <name val="Arial"/>
      <b val="1"/>
      <color rgb="00FFFFFF"/>
      <sz val="15"/>
    </font>
    <font>
      <name val="Arial"/>
      <b val="1"/>
      <color rgb="00FFFFFF"/>
      <sz val="11"/>
    </font>
    <font>
      <name val="Arial"/>
      <b val="1"/>
      <color rgb="001B2A47"/>
      <sz val="11"/>
    </font>
    <font>
      <name val="Arial"/>
      <b val="1"/>
      <color rgb="001B2A47"/>
      <sz val="10"/>
    </font>
    <font>
      <name val="Arial"/>
      <color rgb="001B2A47"/>
      <sz val="11"/>
    </font>
    <font>
      <name val="Arial"/>
      <b val="1"/>
      <color rgb="004A4A4A"/>
      <sz val="11"/>
    </font>
    <font>
      <name val="Arial"/>
      <b val="1"/>
      <color rgb="001B2A47"/>
      <sz val="13"/>
    </font>
    <font>
      <name val="Arial"/>
      <b val="1"/>
      <color rgb="00FFFFFF"/>
      <sz val="10"/>
    </font>
    <font>
      <name val="Arial"/>
      <b val="1"/>
      <color rgb="00FFFFFF"/>
      <sz val="13"/>
    </font>
    <font>
      <name val="Arial"/>
      <b val="1"/>
      <color rgb="00FFFFFF"/>
      <sz val="14"/>
    </font>
    <font>
      <name val="Arial"/>
      <b val="1"/>
      <color rgb="004A4A4A"/>
      <sz val="10"/>
    </font>
    <font>
      <name val="Arial"/>
      <b val="1"/>
      <color rgb="001B2A47"/>
      <sz val="12"/>
    </font>
    <font>
      <name val="Arial"/>
      <b val="1"/>
      <color rgb="00FFFFFF"/>
      <sz val="9"/>
    </font>
    <font>
      <name val="Arial"/>
      <i val="1"/>
      <color rgb="004A4A4A"/>
      <sz val="9"/>
    </font>
    <font>
      <name val="Arial"/>
      <color rgb="001B2A47"/>
      <sz val="10"/>
    </font>
    <font>
      <name val="Arial"/>
      <b val="1"/>
      <sz val="11"/>
    </font>
    <font>
      <name val="Arial"/>
      <color rgb="00FFFFFF"/>
      <sz val="10"/>
    </font>
    <font>
      <name val="Arial"/>
      <i val="1"/>
      <color rgb="00FFFFFF"/>
      <sz val="9"/>
    </font>
    <font>
      <name val="Arial"/>
      <color rgb="001B2A47"/>
      <sz val="9"/>
    </font>
    <font>
      <name val="Arial"/>
      <b val="1"/>
      <color rgb="002E4172"/>
      <sz val="10"/>
    </font>
    <font>
      <name val="Arial"/>
      <b val="1"/>
      <color rgb="001B2A47"/>
      <sz val="9"/>
    </font>
    <font>
      <name val="Arial"/>
      <color rgb="004A4A4A"/>
      <sz val="9"/>
    </font>
    <font>
      <name val="Arial"/>
      <i val="1"/>
      <color rgb="004A4A4A"/>
      <sz val="8"/>
    </font>
  </fonts>
  <fills count="17">
    <fill>
      <patternFill/>
    </fill>
    <fill>
      <patternFill patternType="gray125"/>
    </fill>
    <fill>
      <patternFill patternType="solid">
        <fgColor rgb="001B2A47"/>
      </patternFill>
    </fill>
    <fill>
      <patternFill patternType="solid">
        <fgColor rgb="002E4172"/>
      </patternFill>
    </fill>
    <fill>
      <patternFill patternType="solid">
        <fgColor rgb="00FFFFFF"/>
      </patternFill>
    </fill>
    <fill>
      <patternFill patternType="solid">
        <fgColor rgb="00D9E4F5"/>
      </patternFill>
    </fill>
    <fill>
      <patternFill patternType="solid">
        <fgColor rgb="00C9A84C"/>
      </patternFill>
    </fill>
    <fill>
      <patternFill patternType="solid">
        <fgColor rgb="00FFFBEA"/>
      </patternFill>
    </fill>
    <fill>
      <patternFill patternType="solid">
        <fgColor rgb="00FF3621"/>
      </patternFill>
    </fill>
    <fill>
      <patternFill patternType="solid">
        <fgColor rgb="00F7F9FC"/>
      </patternFill>
    </fill>
    <fill>
      <patternFill patternType="solid">
        <fgColor rgb="00E8F4E8"/>
      </patternFill>
    </fill>
    <fill>
      <patternFill patternType="solid">
        <fgColor rgb="00B0C8EE"/>
      </patternFill>
    </fill>
    <fill>
      <patternFill patternType="solid">
        <fgColor rgb="001A7A4A"/>
      </patternFill>
    </fill>
    <fill>
      <patternFill patternType="solid">
        <fgColor rgb="004CAF50"/>
      </patternFill>
    </fill>
    <fill>
      <patternFill patternType="solid">
        <fgColor rgb="00F9A825"/>
      </patternFill>
    </fill>
    <fill>
      <patternFill patternType="solid">
        <fgColor rgb="00EF6C00"/>
      </patternFill>
    </fill>
    <fill>
      <patternFill patternType="solid">
        <fgColor rgb="00C62828"/>
      </patternFill>
    </fill>
  </fills>
  <borders count="13">
    <border>
      <left/>
      <right/>
      <top/>
      <bottom/>
      <diagonal/>
    </border>
    <border>
      <left style="thin">
        <color rgb="00B0C8EE"/>
      </left>
      <right style="thin">
        <color rgb="00B0C8EE"/>
      </right>
      <top style="thin">
        <color rgb="00B0C8EE"/>
      </top>
      <bottom style="thin">
        <color rgb="00B0C8EE"/>
      </bottom>
    </border>
    <border>
      <bottom style="medium">
        <color rgb="002E4172"/>
      </bottom>
    </border>
    <border>
      <left style="medium">
        <color rgb="00C9A84C"/>
      </left>
      <right style="medium">
        <color rgb="00C9A84C"/>
      </right>
      <top style="medium">
        <color rgb="00C9A84C"/>
      </top>
      <bottom style="medium">
        <color rgb="00C9A84C"/>
      </bottom>
    </border>
    <border>
      <left style="thin">
        <color rgb="002E4172"/>
      </left>
      <right style="thin">
        <color rgb="002E4172"/>
      </right>
      <top style="thin">
        <color rgb="002E4172"/>
      </top>
      <bottom style="thin">
        <color rgb="002E4172"/>
      </bottom>
    </border>
    <border>
      <left style="thin">
        <color rgb="00DDDDDD"/>
      </left>
      <right style="thin">
        <color rgb="00DDDDDD"/>
      </right>
      <top style="thin">
        <color rgb="00DDDDDD"/>
      </top>
      <bottom style="thin">
        <color rgb="00DDDDDD"/>
      </bottom>
    </border>
    <border>
      <left style="thin">
        <color rgb="00C9A84C"/>
      </left>
      <right style="thin">
        <color rgb="00C9A84C"/>
      </right>
      <top style="thin">
        <color rgb="00C9A84C"/>
      </top>
      <bottom style="thin">
        <color rgb="00C9A84C"/>
      </bottom>
    </border>
    <border>
      <left style="thin">
        <color rgb="001B2A47"/>
      </left>
      <right style="thin">
        <color rgb="001B2A47"/>
      </right>
      <top style="thin">
        <color rgb="001B2A47"/>
      </top>
      <bottom style="thin">
        <color rgb="001B2A47"/>
      </bottom>
    </border>
    <border>
      <left style="thin">
        <color rgb="00CCCCCC"/>
      </left>
      <right style="thin">
        <color rgb="00CCCCCC"/>
      </right>
      <top style="thin">
        <color rgb="00CCCCCC"/>
      </top>
      <bottom style="thin">
        <color rgb="00CCCCCC"/>
      </bottom>
    </border>
    <border>
      <left style="thin">
        <color rgb="00AAAAAA"/>
      </left>
      <right style="thin">
        <color rgb="00AAAAAA"/>
      </right>
      <top style="thin">
        <color rgb="00AAAAAA"/>
      </top>
      <bottom style="thin">
        <color rgb="00AAAAAA"/>
      </bottom>
    </border>
    <border>
      <left style="thin">
        <color rgb="00E8D88A"/>
      </left>
      <right style="thin">
        <color rgb="00E8D88A"/>
      </right>
      <top style="thin">
        <color rgb="00E8D88A"/>
      </top>
      <bottom style="thin">
        <color rgb="00E8D88A"/>
      </bottom>
    </border>
    <border>
      <left style="medium">
        <color rgb="002E4172"/>
      </left>
      <right style="medium">
        <color rgb="002E4172"/>
      </right>
      <top style="medium">
        <color rgb="002E4172"/>
      </top>
      <bottom style="medium">
        <color rgb="002E4172"/>
      </bottom>
    </border>
    <border>
      <left style="medium">
        <color rgb="001B2A47"/>
      </left>
      <right style="medium">
        <color rgb="001B2A47"/>
      </right>
      <top style="medium">
        <color rgb="001B2A47"/>
      </top>
      <bottom style="medium">
        <color rgb="001B2A47"/>
      </bottom>
    </border>
  </borders>
  <cellStyleXfs count="1">
    <xf numFmtId="0" fontId="0" fillId="0" borderId="0"/>
  </cellStyleXfs>
  <cellXfs count="73">
    <xf numFmtId="0" fontId="0" fillId="0" borderId="0" pivotButton="0" quotePrefix="0" xfId="0"/>
    <xf numFmtId="0" fontId="1" fillId="2" borderId="0" applyAlignment="1" pivotButton="0" quotePrefix="0" xfId="0">
      <alignment horizontal="left" vertical="top"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1" fillId="4" borderId="0" applyAlignment="1" pivotButton="0" quotePrefix="0" xfId="0">
      <alignment horizontal="left" vertical="top" wrapText="1"/>
    </xf>
    <xf numFmtId="0" fontId="4" fillId="5" borderId="0" applyAlignment="1" pivotButton="0" quotePrefix="0" xfId="0">
      <alignment horizontal="left" vertical="center" wrapText="1"/>
    </xf>
    <xf numFmtId="0" fontId="5" fillId="5" borderId="1" applyAlignment="1" pivotButton="0" quotePrefix="0" xfId="0">
      <alignment horizontal="right" vertical="center" wrapText="1"/>
    </xf>
    <xf numFmtId="0" fontId="6" fillId="4" borderId="2" applyAlignment="1" pivotButton="0" quotePrefix="0" xfId="0">
      <alignment horizontal="left" vertical="bottom"/>
    </xf>
    <xf numFmtId="0" fontId="3" fillId="6" borderId="0" applyAlignment="1" pivotButton="0" quotePrefix="0" xfId="0">
      <alignment horizontal="left" vertical="center" wrapText="1"/>
    </xf>
    <xf numFmtId="0" fontId="7" fillId="7" borderId="3" applyAlignment="1" pivotButton="0" quotePrefix="0" xfId="0">
      <alignment horizontal="right" vertical="center" wrapText="1"/>
    </xf>
    <xf numFmtId="0" fontId="8" fillId="7" borderId="3" applyAlignment="1" pivotButton="0" quotePrefix="0" xfId="0">
      <alignment horizontal="center" vertical="center"/>
    </xf>
    <xf numFmtId="0" fontId="9" fillId="8" borderId="0" applyAlignment="1" pivotButton="0" quotePrefix="0" xfId="0">
      <alignment horizontal="center" vertical="center" wrapText="1"/>
    </xf>
    <xf numFmtId="0" fontId="10" fillId="2" borderId="0" applyAlignment="1" pivotButton="0" quotePrefix="0" xfId="0">
      <alignment horizontal="center" vertical="center" wrapText="1"/>
    </xf>
    <xf numFmtId="0" fontId="1" fillId="9" borderId="0" applyAlignment="1" pivotButton="0" quotePrefix="0" xfId="0">
      <alignment horizontal="left" vertical="top" wrapText="1"/>
    </xf>
    <xf numFmtId="0" fontId="9" fillId="2" borderId="4" applyAlignment="1" pivotButton="0" quotePrefix="0" xfId="0">
      <alignment horizontal="center" vertical="center" wrapText="1"/>
    </xf>
    <xf numFmtId="0" fontId="1" fillId="4" borderId="5" applyAlignment="1" pivotButton="0" quotePrefix="0" xfId="0">
      <alignment horizontal="left" vertical="center"/>
    </xf>
    <xf numFmtId="0" fontId="1" fillId="4" borderId="5" applyAlignment="1" pivotButton="0" quotePrefix="0" xfId="0">
      <alignment horizontal="center" vertical="center"/>
    </xf>
    <xf numFmtId="0" fontId="1" fillId="4" borderId="5" applyAlignment="1" pivotButton="0" quotePrefix="0" xfId="0">
      <alignment horizontal="left" vertical="center" wrapText="1"/>
    </xf>
    <xf numFmtId="0" fontId="1" fillId="9" borderId="5" applyAlignment="1" pivotButton="0" quotePrefix="0" xfId="0">
      <alignment horizontal="left" vertical="center"/>
    </xf>
    <xf numFmtId="0" fontId="1" fillId="9" borderId="5" applyAlignment="1" pivotButton="0" quotePrefix="0" xfId="0">
      <alignment horizontal="center" vertical="center"/>
    </xf>
    <xf numFmtId="0" fontId="1" fillId="9" borderId="5" applyAlignment="1" pivotButton="0" quotePrefix="0" xfId="0">
      <alignment horizontal="left" vertical="center" wrapText="1"/>
    </xf>
    <xf numFmtId="0" fontId="11" fillId="2"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7" borderId="0" applyAlignment="1" pivotButton="0" quotePrefix="0" xfId="0">
      <alignment horizontal="left" vertical="top" wrapText="1"/>
    </xf>
    <xf numFmtId="0" fontId="12" fillId="7" borderId="6" applyAlignment="1" pivotButton="0" quotePrefix="0" xfId="0">
      <alignment horizontal="right" vertical="center" wrapText="1"/>
    </xf>
    <xf numFmtId="0" fontId="13" fillId="7" borderId="3" applyAlignment="1" pivotButton="0" quotePrefix="0" xfId="0">
      <alignment horizontal="center" vertical="center"/>
    </xf>
    <xf numFmtId="0" fontId="1" fillId="3" borderId="0" applyAlignment="1" pivotButton="0" quotePrefix="0" xfId="0">
      <alignment horizontal="left" vertical="top" wrapText="1"/>
    </xf>
    <xf numFmtId="0" fontId="14" fillId="3" borderId="7" applyAlignment="1" pivotButton="0" quotePrefix="0" xfId="0">
      <alignment horizontal="center" vertical="center" wrapText="1"/>
    </xf>
    <xf numFmtId="0" fontId="15" fillId="4" borderId="0" applyAlignment="1" pivotButton="0" quotePrefix="0" xfId="0">
      <alignment horizontal="left" vertical="top" wrapText="1"/>
    </xf>
    <xf numFmtId="1" fontId="5" fillId="4" borderId="5" applyAlignment="1" pivotButton="0" quotePrefix="0" xfId="0">
      <alignment horizontal="center" vertical="center"/>
    </xf>
    <xf numFmtId="0" fontId="1" fillId="10" borderId="0" applyAlignment="1" pivotButton="0" quotePrefix="0" xfId="0">
      <alignment horizontal="left" vertical="top" wrapText="1"/>
    </xf>
    <xf numFmtId="0" fontId="5" fillId="10" borderId="4" applyAlignment="1" pivotButton="0" quotePrefix="0" xfId="0">
      <alignment horizontal="left" vertical="center" wrapText="1"/>
    </xf>
    <xf numFmtId="164" fontId="4" fillId="10" borderId="4" applyAlignment="1" pivotButton="0" quotePrefix="0" xfId="0">
      <alignment horizontal="center" vertical="center"/>
    </xf>
    <xf numFmtId="9" fontId="16" fillId="9" borderId="5" applyAlignment="1" pivotButton="0" quotePrefix="0" xfId="0">
      <alignment horizontal="center" vertical="center"/>
    </xf>
    <xf numFmtId="0" fontId="17" fillId="11" borderId="4" applyAlignment="1" pivotButton="0" quotePrefix="0" xfId="0">
      <alignment horizontal="center" vertical="center"/>
    </xf>
    <xf numFmtId="0" fontId="15" fillId="7" borderId="0" applyAlignment="1" pivotButton="0" quotePrefix="0" xfId="0">
      <alignment horizontal="left" vertical="center" wrapText="1"/>
    </xf>
    <xf numFmtId="0" fontId="14" fillId="2" borderId="4" applyAlignment="1" pivotButton="0" quotePrefix="0" xfId="0">
      <alignment horizontal="center" vertical="center" wrapText="1"/>
    </xf>
    <xf numFmtId="0" fontId="5" fillId="9" borderId="8" applyAlignment="1" pivotButton="0" quotePrefix="0" xfId="0">
      <alignment horizontal="left" vertical="top" wrapText="1"/>
    </xf>
    <xf numFmtId="1" fontId="5" fillId="9" borderId="8" applyAlignment="1" pivotButton="0" quotePrefix="0" xfId="0">
      <alignment horizontal="center" vertical="center"/>
    </xf>
    <xf numFmtId="0" fontId="1" fillId="12" borderId="0" applyAlignment="1" pivotButton="0" quotePrefix="0" xfId="0">
      <alignment horizontal="left" vertical="top" wrapText="1"/>
    </xf>
    <xf numFmtId="0" fontId="9" fillId="12" borderId="9" applyAlignment="1" pivotButton="0" quotePrefix="0" xfId="0">
      <alignment horizontal="left" vertical="center" wrapText="1"/>
    </xf>
    <xf numFmtId="1" fontId="16" fillId="4" borderId="5" applyAlignment="1" pivotButton="0" quotePrefix="0" xfId="0">
      <alignment horizontal="center" vertical="center"/>
    </xf>
    <xf numFmtId="0" fontId="1" fillId="13" borderId="0" applyAlignment="1" pivotButton="0" quotePrefix="0" xfId="0">
      <alignment horizontal="left" vertical="top" wrapText="1"/>
    </xf>
    <xf numFmtId="0" fontId="18" fillId="13" borderId="9" applyAlignment="1" pivotButton="0" quotePrefix="0" xfId="0">
      <alignment horizontal="left" vertical="center" wrapText="1"/>
    </xf>
    <xf numFmtId="0" fontId="1" fillId="14" borderId="0" applyAlignment="1" pivotButton="0" quotePrefix="0" xfId="0">
      <alignment horizontal="left" vertical="top" wrapText="1"/>
    </xf>
    <xf numFmtId="0" fontId="18" fillId="14" borderId="9" applyAlignment="1" pivotButton="0" quotePrefix="0" xfId="0">
      <alignment horizontal="left" vertical="center" wrapText="1"/>
    </xf>
    <xf numFmtId="0" fontId="1" fillId="15" borderId="0" applyAlignment="1" pivotButton="0" quotePrefix="0" xfId="0">
      <alignment horizontal="left" vertical="top" wrapText="1"/>
    </xf>
    <xf numFmtId="0" fontId="18" fillId="15" borderId="9" applyAlignment="1" pivotButton="0" quotePrefix="0" xfId="0">
      <alignment horizontal="left" vertical="center" wrapText="1"/>
    </xf>
    <xf numFmtId="0" fontId="1" fillId="16" borderId="0" applyAlignment="1" pivotButton="0" quotePrefix="0" xfId="0">
      <alignment horizontal="left" vertical="top" wrapText="1"/>
    </xf>
    <xf numFmtId="0" fontId="9" fillId="16" borderId="9" applyAlignment="1" pivotButton="0" quotePrefix="0" xfId="0">
      <alignment horizontal="left" vertical="center" wrapText="1"/>
    </xf>
    <xf numFmtId="0" fontId="19" fillId="12" borderId="9" applyAlignment="1" pivotButton="0" quotePrefix="0" xfId="0">
      <alignment horizontal="left" vertical="center" wrapText="1"/>
    </xf>
    <xf numFmtId="164" fontId="20" fillId="9" borderId="5" applyAlignment="1" pivotButton="0" quotePrefix="0" xfId="0">
      <alignment horizontal="center" vertical="center"/>
    </xf>
    <xf numFmtId="0" fontId="19" fillId="13" borderId="9" applyAlignment="1" pivotButton="0" quotePrefix="0" xfId="0">
      <alignment horizontal="left" vertical="center" wrapText="1"/>
    </xf>
    <xf numFmtId="0" fontId="19" fillId="14" borderId="9" applyAlignment="1" pivotButton="0" quotePrefix="0" xfId="0">
      <alignment horizontal="left" vertical="center" wrapText="1"/>
    </xf>
    <xf numFmtId="0" fontId="19" fillId="15" borderId="9" applyAlignment="1" pivotButton="0" quotePrefix="0" xfId="0">
      <alignment horizontal="left" vertical="center" wrapText="1"/>
    </xf>
    <xf numFmtId="0" fontId="19" fillId="16" borderId="9" applyAlignment="1" pivotButton="0" quotePrefix="0" xfId="0">
      <alignment horizontal="left" vertical="center" wrapText="1"/>
    </xf>
    <xf numFmtId="0" fontId="15" fillId="7" borderId="10" applyAlignment="1" pivotButton="0" quotePrefix="0" xfId="0">
      <alignment horizontal="left" vertical="top" wrapText="1"/>
    </xf>
    <xf numFmtId="0" fontId="20" fillId="7" borderId="10" applyAlignment="1" pivotButton="0" quotePrefix="0" xfId="0">
      <alignment horizontal="center" vertical="center"/>
    </xf>
    <xf numFmtId="0" fontId="1" fillId="11" borderId="0" applyAlignment="1" pivotButton="0" quotePrefix="0" xfId="0">
      <alignment horizontal="left" vertical="top" wrapText="1"/>
    </xf>
    <xf numFmtId="0" fontId="5" fillId="11" borderId="4" applyAlignment="1" pivotButton="0" quotePrefix="0" xfId="0">
      <alignment horizontal="left" vertical="center" wrapText="1"/>
    </xf>
    <xf numFmtId="1" fontId="4" fillId="9" borderId="8" applyAlignment="1" pivotButton="0" quotePrefix="0" xfId="0">
      <alignment horizontal="center" vertical="center"/>
    </xf>
    <xf numFmtId="9" fontId="16" fillId="9" borderId="8" applyAlignment="1" pivotButton="0" quotePrefix="0" xfId="0">
      <alignment horizontal="center" vertical="center"/>
    </xf>
    <xf numFmtId="0" fontId="3" fillId="11" borderId="4" applyAlignment="1" pivotButton="0" quotePrefix="0" xfId="0">
      <alignment horizontal="center" vertical="center"/>
    </xf>
    <xf numFmtId="0" fontId="3" fillId="3" borderId="0" applyAlignment="1" pivotButton="0" quotePrefix="0" xfId="0">
      <alignment horizontal="left" vertical="center" wrapText="1"/>
    </xf>
    <xf numFmtId="0" fontId="1" fillId="5" borderId="0" applyAlignment="1" pivotButton="0" quotePrefix="0" xfId="0">
      <alignment horizontal="left" vertical="top" wrapText="1"/>
    </xf>
    <xf numFmtId="0" fontId="13" fillId="5" borderId="11" applyAlignment="1" pivotButton="0" quotePrefix="0" xfId="0">
      <alignment horizontal="left" vertical="center" wrapText="1"/>
    </xf>
    <xf numFmtId="0" fontId="10" fillId="11" borderId="12" applyAlignment="1" pivotButton="0" quotePrefix="0" xfId="0">
      <alignment horizontal="center" vertical="center"/>
    </xf>
    <xf numFmtId="0" fontId="21" fillId="9" borderId="0" applyAlignment="1" pivotButton="0" quotePrefix="0" xfId="0">
      <alignment horizontal="left" vertical="center" wrapText="1"/>
    </xf>
    <xf numFmtId="0" fontId="22" fillId="4" borderId="8" applyAlignment="1" pivotButton="0" quotePrefix="0" xfId="0">
      <alignment horizontal="left" vertical="top" wrapText="1"/>
    </xf>
    <xf numFmtId="0" fontId="23" fillId="4" borderId="8" applyAlignment="1" pivotButton="0" quotePrefix="0" xfId="0">
      <alignment horizontal="center" vertical="top" wrapText="1"/>
    </xf>
    <xf numFmtId="0" fontId="22" fillId="9" borderId="8" applyAlignment="1" pivotButton="0" quotePrefix="0" xfId="0">
      <alignment horizontal="left" vertical="top" wrapText="1"/>
    </xf>
    <xf numFmtId="0" fontId="23" fillId="9" borderId="8" applyAlignment="1" pivotButton="0" quotePrefix="0" xfId="0">
      <alignment horizontal="center" vertical="top" wrapText="1"/>
    </xf>
    <xf numFmtId="0" fontId="24"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ScoreData" displayName="ScoreData" ref="A6:F36" headerRowCount="1">
  <autoFilter ref="A6:F36"/>
  <tableColumns count="6">
    <tableColumn id="1" name="Tester Name"/>
    <tableColumn id="2" name="Question #"/>
    <tableColumn id="3" name="Task Completion (TC)"/>
    <tableColumn id="4" name="Result Usefulness (RU)"/>
    <tableColumn id="5" name="Clarity &amp; Interpretability (CI)"/>
    <tableColumn id="6"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3" customWidth="1" min="1" max="1"/>
    <col width="30" customWidth="1" min="2" max="2"/>
    <col width="32" customWidth="1" min="3" max="3"/>
    <col width="3" customWidth="1" min="4" max="4"/>
  </cols>
  <sheetData>
    <row r="1" ht="10" customHeight="1">
      <c r="A1" s="1" t="inlineStr"/>
    </row>
    <row r="2" ht="10" customHeight="1">
      <c r="A2" s="1" t="inlineStr"/>
    </row>
    <row r="3" ht="36" customHeight="1">
      <c r="A3" s="2" t="inlineStr">
        <is>
          <t>LAYER 3 PILOT — DEVELOPER AGGREGATION WORKBOOK</t>
        </is>
      </c>
    </row>
    <row r="4" ht="18" customHeight="1"/>
    <row r="5" ht="10" customHeight="1"/>
    <row r="6" ht="24" customHeight="1">
      <c r="A6" s="3" t="inlineStr">
        <is>
          <t>SETUP — Complete this sheet before entering any scores</t>
        </is>
      </c>
    </row>
    <row r="7" ht="8" customHeight="1">
      <c r="A7" s="4" t="inlineStr"/>
    </row>
    <row r="8" ht="18" customHeight="1">
      <c r="A8" s="4" t="inlineStr">
        <is>
          <t>This workbook aggregates Layer 3 tester scoresheets into a single results summary. Complete the fields below, then navigate to the Scores sheet to enter responses collected from each tester's completed scoresheet. The Results sheet will automatically calculate score distributions and pass/fail determinations based on the risk tier you select here.
Important: The Risk Tier selection drives all threshold calculations in the Results sheet. Set it correctly before entering any scores. It should match the risk tier documented in the space charter and approved by the Director's office.</t>
        </is>
      </c>
    </row>
    <row r="9" ht="18" customHeight="1"/>
    <row r="10" ht="18" customHeight="1"/>
    <row r="11" ht="18" customHeight="1"/>
    <row r="12" ht="8" customHeight="1"/>
    <row r="13" ht="24" customHeight="1">
      <c r="A13" s="5" t="inlineStr">
        <is>
          <t>SPACE DETAILS</t>
        </is>
      </c>
    </row>
    <row r="14" ht="26" customHeight="1">
      <c r="B14" s="6" t="inlineStr">
        <is>
          <t>Space Name:</t>
        </is>
      </c>
      <c r="C14" s="7" t="inlineStr"/>
    </row>
    <row r="15" ht="26" customHeight="1">
      <c r="B15" s="6" t="inlineStr">
        <is>
          <t>Developer / Project Lead:</t>
        </is>
      </c>
      <c r="C15" s="7" t="inlineStr"/>
    </row>
    <row r="16" ht="26" customHeight="1">
      <c r="B16" s="6" t="inlineStr">
        <is>
          <t>Evaluation Date:</t>
        </is>
      </c>
      <c r="C16" s="7" t="inlineStr"/>
    </row>
    <row r="17" ht="26" customHeight="1">
      <c r="B17" s="6" t="inlineStr">
        <is>
          <t>Layer 1 Pass Rate (%):</t>
        </is>
      </c>
      <c r="C17" s="7" t="inlineStr"/>
    </row>
    <row r="18" ht="26" customHeight="1">
      <c r="B18" s="6" t="inlineStr">
        <is>
          <t>Layer 2 Outcome:</t>
        </is>
      </c>
      <c r="C18" s="7" t="inlineStr"/>
    </row>
    <row r="19" ht="8" customHeight="1"/>
    <row r="20" ht="24" customHeight="1">
      <c r="A20" s="8" t="inlineStr">
        <is>
          <t>RISK TIER SELECTION — This drives all threshold calculations</t>
        </is>
      </c>
    </row>
    <row r="21" ht="32" customHeight="1">
      <c r="B21" s="9" t="inlineStr">
        <is>
          <t>Risk Tier:</t>
        </is>
      </c>
      <c r="C21" s="10" t="inlineStr">
        <is>
          <t>Medium</t>
        </is>
      </c>
    </row>
    <row r="23" ht="24" customHeight="1">
      <c r="A23" s="11" t="inlineStr">
        <is>
          <t>▶  Once Setup is complete, go to the Scores sheet to enter tester data.</t>
        </is>
      </c>
    </row>
  </sheetData>
  <mergeCells count="9">
    <mergeCell ref="A1:D1"/>
    <mergeCell ref="A23:D23"/>
    <mergeCell ref="A6:D6"/>
    <mergeCell ref="A3:D5"/>
    <mergeCell ref="A8:D11"/>
    <mergeCell ref="A20:D20"/>
    <mergeCell ref="A7:D7"/>
    <mergeCell ref="A2:D2"/>
    <mergeCell ref="A13:D13"/>
  </mergeCells>
  <dataValidations count="1">
    <dataValidation sqref="C21" showDropDown="0" showInputMessage="1" showErrorMessage="1" allowBlank="0" errorTitle="Invalid entry" error="Please select Low, Medium, or High from the dropdown." promptTitle="Risk Tier" prompt="Select the risk tier approved for this space: Low, Medium, or High." type="list">
      <formula1>"Low,Medium,High"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pane ySplit="6" topLeftCell="A7"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45" customWidth="1" min="6" max="6"/>
  </cols>
  <sheetData>
    <row r="1" ht="28" customHeight="1">
      <c r="A1" s="12" t="inlineStr">
        <is>
          <t>SCORES — Enter one row per tester per question</t>
        </is>
      </c>
    </row>
    <row r="2" ht="14" customHeight="1"/>
    <row r="3" ht="18" customHeight="1">
      <c r="A3" s="13" t="inlineStr">
        <is>
          <t>Transcribe scores from each completed tester scoresheet. Add one row per question per tester. The table expands automatically as you add rows — type directly into the next empty row below the last entry. Tester Name must be filled in on every row (no blanks). Scores must be whole numbers 1–5. Comments are optional but recommended where scores are low.</t>
        </is>
      </c>
    </row>
    <row r="4" ht="18" customHeight="1"/>
    <row r="5" ht="14" customHeight="1"/>
    <row r="6" ht="28" customHeight="1">
      <c r="A6" s="14" t="inlineStr">
        <is>
          <t>Tester Name</t>
        </is>
      </c>
      <c r="B6" s="14" t="inlineStr">
        <is>
          <t>Question #</t>
        </is>
      </c>
      <c r="C6" s="14" t="inlineStr">
        <is>
          <t>Task Completion (TC)</t>
        </is>
      </c>
      <c r="D6" s="14" t="inlineStr">
        <is>
          <t>Result Usefulness (RU)</t>
        </is>
      </c>
      <c r="E6" s="14" t="inlineStr">
        <is>
          <t>Clarity &amp; Interpretability (CI)</t>
        </is>
      </c>
      <c r="F6" s="14" t="inlineStr">
        <is>
          <t>Comments</t>
        </is>
      </c>
    </row>
    <row r="7" ht="20" customHeight="1">
      <c r="A7" s="15" t="n"/>
      <c r="B7" s="16" t="n"/>
      <c r="C7" s="16" t="n"/>
      <c r="D7" s="16" t="n"/>
      <c r="E7" s="16" t="n"/>
      <c r="F7" s="17" t="n"/>
    </row>
    <row r="8" ht="20" customHeight="1">
      <c r="A8" s="18" t="n"/>
      <c r="B8" s="19" t="n"/>
      <c r="C8" s="19" t="n"/>
      <c r="D8" s="19" t="n"/>
      <c r="E8" s="19" t="n"/>
      <c r="F8" s="20" t="n"/>
    </row>
    <row r="9" ht="20" customHeight="1">
      <c r="A9" s="15" t="n"/>
      <c r="B9" s="16" t="n"/>
      <c r="C9" s="16" t="n"/>
      <c r="D9" s="16" t="n"/>
      <c r="E9" s="16" t="n"/>
      <c r="F9" s="17" t="n"/>
    </row>
    <row r="10" ht="20" customHeight="1">
      <c r="A10" s="18" t="n"/>
      <c r="B10" s="19" t="n"/>
      <c r="C10" s="19" t="n"/>
      <c r="D10" s="19" t="n"/>
      <c r="E10" s="19" t="n"/>
      <c r="F10" s="20" t="n"/>
    </row>
    <row r="11" ht="20" customHeight="1">
      <c r="A11" s="15" t="n"/>
      <c r="B11" s="16" t="n"/>
      <c r="C11" s="16" t="n"/>
      <c r="D11" s="16" t="n"/>
      <c r="E11" s="16" t="n"/>
      <c r="F11" s="17" t="n"/>
    </row>
    <row r="12" ht="20" customHeight="1">
      <c r="A12" s="18" t="n"/>
      <c r="B12" s="19" t="n"/>
      <c r="C12" s="19" t="n"/>
      <c r="D12" s="19" t="n"/>
      <c r="E12" s="19" t="n"/>
      <c r="F12" s="20" t="n"/>
    </row>
    <row r="13" ht="20" customHeight="1">
      <c r="A13" s="15" t="n"/>
      <c r="B13" s="16" t="n"/>
      <c r="C13" s="16" t="n"/>
      <c r="D13" s="16" t="n"/>
      <c r="E13" s="16" t="n"/>
      <c r="F13" s="17" t="n"/>
    </row>
    <row r="14" ht="20" customHeight="1">
      <c r="A14" s="18" t="n"/>
      <c r="B14" s="19" t="n"/>
      <c r="C14" s="19" t="n"/>
      <c r="D14" s="19" t="n"/>
      <c r="E14" s="19" t="n"/>
      <c r="F14" s="20" t="n"/>
    </row>
    <row r="15" ht="20" customHeight="1">
      <c r="A15" s="15" t="n"/>
      <c r="B15" s="16" t="n"/>
      <c r="C15" s="16" t="n"/>
      <c r="D15" s="16" t="n"/>
      <c r="E15" s="16" t="n"/>
      <c r="F15" s="17" t="n"/>
    </row>
    <row r="16" ht="20" customHeight="1">
      <c r="A16" s="18" t="n"/>
      <c r="B16" s="19" t="n"/>
      <c r="C16" s="19" t="n"/>
      <c r="D16" s="19" t="n"/>
      <c r="E16" s="19" t="n"/>
      <c r="F16" s="20" t="n"/>
    </row>
    <row r="17" ht="20" customHeight="1">
      <c r="A17" s="15" t="n"/>
      <c r="B17" s="16" t="n"/>
      <c r="C17" s="16" t="n"/>
      <c r="D17" s="16" t="n"/>
      <c r="E17" s="16" t="n"/>
      <c r="F17" s="17" t="n"/>
    </row>
    <row r="18" ht="20" customHeight="1">
      <c r="A18" s="18" t="n"/>
      <c r="B18" s="19" t="n"/>
      <c r="C18" s="19" t="n"/>
      <c r="D18" s="19" t="n"/>
      <c r="E18" s="19" t="n"/>
      <c r="F18" s="20" t="n"/>
    </row>
    <row r="19" ht="20" customHeight="1">
      <c r="A19" s="15" t="n"/>
      <c r="B19" s="16" t="n"/>
      <c r="C19" s="16" t="n"/>
      <c r="D19" s="16" t="n"/>
      <c r="E19" s="16" t="n"/>
      <c r="F19" s="17" t="n"/>
    </row>
    <row r="20" ht="20" customHeight="1">
      <c r="A20" s="18" t="n"/>
      <c r="B20" s="19" t="n"/>
      <c r="C20" s="19" t="n"/>
      <c r="D20" s="19" t="n"/>
      <c r="E20" s="19" t="n"/>
      <c r="F20" s="20" t="n"/>
    </row>
    <row r="21" ht="20" customHeight="1">
      <c r="A21" s="15" t="n"/>
      <c r="B21" s="16" t="n"/>
      <c r="C21" s="16" t="n"/>
      <c r="D21" s="16" t="n"/>
      <c r="E21" s="16" t="n"/>
      <c r="F21" s="17" t="n"/>
    </row>
    <row r="22" ht="20" customHeight="1">
      <c r="A22" s="18" t="n"/>
      <c r="B22" s="19" t="n"/>
      <c r="C22" s="19" t="n"/>
      <c r="D22" s="19" t="n"/>
      <c r="E22" s="19" t="n"/>
      <c r="F22" s="20" t="n"/>
    </row>
    <row r="23" ht="20" customHeight="1">
      <c r="A23" s="15" t="n"/>
      <c r="B23" s="16" t="n"/>
      <c r="C23" s="16" t="n"/>
      <c r="D23" s="16" t="n"/>
      <c r="E23" s="16" t="n"/>
      <c r="F23" s="17" t="n"/>
    </row>
    <row r="24" ht="20" customHeight="1">
      <c r="A24" s="18" t="n"/>
      <c r="B24" s="19" t="n"/>
      <c r="C24" s="19" t="n"/>
      <c r="D24" s="19" t="n"/>
      <c r="E24" s="19" t="n"/>
      <c r="F24" s="20" t="n"/>
    </row>
    <row r="25" ht="20" customHeight="1">
      <c r="A25" s="15" t="n"/>
      <c r="B25" s="16" t="n"/>
      <c r="C25" s="16" t="n"/>
      <c r="D25" s="16" t="n"/>
      <c r="E25" s="16" t="n"/>
      <c r="F25" s="17" t="n"/>
    </row>
    <row r="26" ht="20" customHeight="1">
      <c r="A26" s="18" t="n"/>
      <c r="B26" s="19" t="n"/>
      <c r="C26" s="19" t="n"/>
      <c r="D26" s="19" t="n"/>
      <c r="E26" s="19" t="n"/>
      <c r="F26" s="20" t="n"/>
    </row>
    <row r="27" ht="20" customHeight="1">
      <c r="A27" s="15" t="n"/>
      <c r="B27" s="16" t="n"/>
      <c r="C27" s="16" t="n"/>
      <c r="D27" s="16" t="n"/>
      <c r="E27" s="16" t="n"/>
      <c r="F27" s="17" t="n"/>
    </row>
    <row r="28" ht="20" customHeight="1">
      <c r="A28" s="18" t="n"/>
      <c r="B28" s="19" t="n"/>
      <c r="C28" s="19" t="n"/>
      <c r="D28" s="19" t="n"/>
      <c r="E28" s="19" t="n"/>
      <c r="F28" s="20" t="n"/>
    </row>
    <row r="29" ht="20" customHeight="1">
      <c r="A29" s="15" t="n"/>
      <c r="B29" s="16" t="n"/>
      <c r="C29" s="16" t="n"/>
      <c r="D29" s="16" t="n"/>
      <c r="E29" s="16" t="n"/>
      <c r="F29" s="17" t="n"/>
    </row>
    <row r="30" ht="20" customHeight="1">
      <c r="A30" s="18" t="n"/>
      <c r="B30" s="19" t="n"/>
      <c r="C30" s="19" t="n"/>
      <c r="D30" s="19" t="n"/>
      <c r="E30" s="19" t="n"/>
      <c r="F30" s="20" t="n"/>
    </row>
    <row r="31" ht="20" customHeight="1">
      <c r="A31" s="15" t="n"/>
      <c r="B31" s="16" t="n"/>
      <c r="C31" s="16" t="n"/>
      <c r="D31" s="16" t="n"/>
      <c r="E31" s="16" t="n"/>
      <c r="F31" s="17" t="n"/>
    </row>
    <row r="32" ht="20" customHeight="1">
      <c r="A32" s="18" t="n"/>
      <c r="B32" s="19" t="n"/>
      <c r="C32" s="19" t="n"/>
      <c r="D32" s="19" t="n"/>
      <c r="E32" s="19" t="n"/>
      <c r="F32" s="20" t="n"/>
    </row>
    <row r="33" ht="20" customHeight="1">
      <c r="A33" s="15" t="n"/>
      <c r="B33" s="16" t="n"/>
      <c r="C33" s="16" t="n"/>
      <c r="D33" s="16" t="n"/>
      <c r="E33" s="16" t="n"/>
      <c r="F33" s="17" t="n"/>
    </row>
    <row r="34" ht="20" customHeight="1">
      <c r="A34" s="18" t="n"/>
      <c r="B34" s="19" t="n"/>
      <c r="C34" s="19" t="n"/>
      <c r="D34" s="19" t="n"/>
      <c r="E34" s="19" t="n"/>
      <c r="F34" s="20" t="n"/>
    </row>
    <row r="35" ht="20" customHeight="1">
      <c r="A35" s="15" t="n"/>
      <c r="B35" s="16" t="n"/>
      <c r="C35" s="16" t="n"/>
      <c r="D35" s="16" t="n"/>
      <c r="E35" s="16" t="n"/>
      <c r="F35" s="17" t="n"/>
    </row>
    <row r="36" ht="20" customHeight="1">
      <c r="A36" s="18" t="n"/>
      <c r="B36" s="19" t="n"/>
      <c r="C36" s="19" t="n"/>
      <c r="D36" s="19" t="n"/>
      <c r="E36" s="19" t="n"/>
      <c r="F36" s="20" t="n"/>
    </row>
  </sheetData>
  <mergeCells count="2">
    <mergeCell ref="A3:F5"/>
    <mergeCell ref="A1:F2"/>
  </mergeCells>
  <dataValidations count="2">
    <dataValidation sqref="C7:E207" showDropDown="0" showInputMessage="1" showErrorMessage="1" allowBlank="1" errorTitle="Invalid score" error="Scores must be whole numbers between 1 and 5." promptTitle="Enter score" prompt="Enter a whole number from 1 (Fail) to 5 (Excellent)." type="whole" operator="between">
      <formula1>1</formula1>
      <formula2>5</formula2>
    </dataValidation>
    <dataValidation sqref="B7:B207" showDropDown="0" showInputMessage="0" showErrorMessage="1" allowBlank="1" errorTitle="Invalid question number" error="Question number must be between 1 and 20." type="whole" operator="between">
      <formula1>1</formula1>
      <formula2>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47"/>
  <sheetViews>
    <sheetView showGridLines="0" workbookViewId="0">
      <selection activeCell="A1" sqref="A1"/>
    </sheetView>
  </sheetViews>
  <sheetFormatPr baseColWidth="8" defaultRowHeight="15"/>
  <cols>
    <col width="3" customWidth="1" min="1" max="1"/>
    <col width="34" customWidth="1" min="2" max="2"/>
    <col width="16" customWidth="1" min="3" max="3"/>
    <col width="16" customWidth="1" min="4" max="4"/>
    <col width="16" customWidth="1" min="5" max="5"/>
    <col width="16" customWidth="1" min="6" max="6"/>
    <col width="3" customWidth="1" min="7" max="7"/>
  </cols>
  <sheetData>
    <row r="1" ht="32" customHeight="1">
      <c r="A1" s="21" t="inlineStr">
        <is>
          <t>LAYER 3 RESULTS — Score Distributions &amp; Threshold Checks</t>
        </is>
      </c>
    </row>
    <row r="2" ht="14" customHeight="1"/>
    <row r="3" ht="22" customHeight="1">
      <c r="A3" s="22" t="inlineStr">
        <is>
          <t>All calculations update automatically when scores are added to the Scores sheet. Risk tier thresholds are driven by the selection on the Setup sheet.</t>
        </is>
      </c>
    </row>
    <row r="5" ht="22" customHeight="1">
      <c r="A5" s="8" t="inlineStr">
        <is>
          <t>ACTIVE SETTINGS</t>
        </is>
      </c>
    </row>
    <row r="6" ht="26" customHeight="1">
      <c r="A6" s="23" t="inlineStr"/>
      <c r="B6" s="24" t="inlineStr">
        <is>
          <t>Risk Tier (from Setup):</t>
        </is>
      </c>
      <c r="C6" s="25">
        <f>Setup!$C$21</f>
        <v/>
      </c>
      <c r="D6" s="23" t="inlineStr"/>
      <c r="E6" s="23" t="inlineStr"/>
      <c r="F6" s="23" t="inlineStr"/>
      <c r="G6" s="23" t="inlineStr"/>
    </row>
    <row r="8" ht="22" customHeight="1">
      <c r="A8" s="5" t="inlineStr">
        <is>
          <t>TESTER TASK COMPLETION RATE</t>
        </is>
      </c>
    </row>
    <row r="9" ht="20" customHeight="1">
      <c r="A9" s="26" t="inlineStr"/>
      <c r="B9" s="27" t="inlineStr">
        <is>
          <t>Metric</t>
        </is>
      </c>
      <c r="C9" s="27" t="inlineStr">
        <is>
          <t>Value</t>
        </is>
      </c>
      <c r="D9" s="27" t="inlineStr">
        <is>
          <t>Threshold</t>
        </is>
      </c>
      <c r="E9" s="27" t="inlineStr">
        <is>
          <t>Floor Met?</t>
        </is>
      </c>
      <c r="F9" s="26" t="inlineStr"/>
      <c r="G9" s="26" t="inlineStr"/>
    </row>
    <row r="10" ht="20" customHeight="1">
      <c r="B10" s="28" t="inlineStr">
        <is>
          <t>Unique testers detected:</t>
        </is>
      </c>
      <c r="C10" s="29">
        <f>IFERROR(SUMPRODUCT(1/COUNTIF(ScoreData[Tester Name],ScoreData[Tester Name])),0)</f>
        <v/>
      </c>
    </row>
    <row r="11" ht="20" customHeight="1">
      <c r="B11" s="28" t="inlineStr">
        <is>
          <t>Total interactions entered:</t>
        </is>
      </c>
      <c r="C11" s="29">
        <f>IFERROR(COUNTA(ScoreData[Task Completion (TC)]),0)</f>
        <v/>
      </c>
    </row>
    <row r="12" ht="20" customHeight="1">
      <c r="B12" s="28" t="inlineStr">
        <is>
          <t>Expected interactions (testers × 20):</t>
        </is>
      </c>
      <c r="C12" s="29">
        <f>IFERROR(Results!C10*20,0)</f>
        <v/>
      </c>
    </row>
    <row r="13" ht="26" customHeight="1">
      <c r="A13" s="30" t="inlineStr"/>
      <c r="B13" s="31" t="inlineStr">
        <is>
          <t>Tester task completion rate:</t>
        </is>
      </c>
      <c r="C13" s="32">
        <f>IFERROR(Results!C11/Results!C12,"No data")</f>
        <v/>
      </c>
      <c r="D13" s="33">
        <f>IFS(Setup!$C$21="Low",85%,Setup!$C$21="Medium",90%,Setup!$C$21="High",95%)</f>
        <v/>
      </c>
      <c r="E13" s="34">
        <f>IFERROR(IF(Results!C13&gt;=Results!D13,"PASS","FAIL"),"No data")</f>
        <v/>
      </c>
      <c r="F13" s="30" t="inlineStr"/>
      <c r="G13" s="30" t="inlineStr"/>
    </row>
    <row r="14" ht="18" customHeight="1">
      <c r="B14" s="35" t="inlineStr">
        <is>
          <t>Note: If completion rate is below threshold, Layer 3 data is invalid and the pilot must be repeated.</t>
        </is>
      </c>
    </row>
    <row r="16" ht="22" customHeight="1">
      <c r="A16" s="5" t="inlineStr">
        <is>
          <t>SCORE DISTRIBUTIONS BY DIMENSION</t>
        </is>
      </c>
    </row>
    <row r="17" ht="36" customHeight="1">
      <c r="A17" s="1" t="inlineStr"/>
      <c r="B17" s="36" t="inlineStr"/>
      <c r="C17" s="36" t="inlineStr">
        <is>
          <t>Task Completion
(TC)</t>
        </is>
      </c>
      <c r="D17" s="36" t="inlineStr">
        <is>
          <t>Result Usefulness
(RU)</t>
        </is>
      </c>
      <c r="E17" s="36" t="inlineStr">
        <is>
          <t>Clarity &amp;
Interpretability (CI)</t>
        </is>
      </c>
      <c r="F17" s="1" t="inlineStr"/>
      <c r="G17" s="1" t="inlineStr"/>
    </row>
    <row r="18" ht="20" customHeight="1">
      <c r="A18" s="13" t="inlineStr"/>
      <c r="B18" s="37" t="inlineStr">
        <is>
          <t>Total interactions scored:</t>
        </is>
      </c>
      <c r="C18" s="38">
        <f>IFERROR(COUNTA(ScoreData[Task Completion (TC)]),0)</f>
        <v/>
      </c>
      <c r="D18" s="38">
        <f>IFERROR(COUNTA(ScoreData[Result Usefulness (RU)]),0)</f>
        <v/>
      </c>
      <c r="E18" s="38">
        <f>IFERROR(COUNTA(ScoreData[Clarity &amp; Interpretability (CI)]),0)</f>
        <v/>
      </c>
      <c r="F18" s="13" t="inlineStr"/>
      <c r="G18" s="13" t="inlineStr"/>
    </row>
    <row r="19" ht="20" customHeight="1">
      <c r="A19" s="39" t="inlineStr"/>
      <c r="B19" s="40" t="inlineStr">
        <is>
          <t>Score 5 — Excellent</t>
        </is>
      </c>
      <c r="C19" s="41">
        <f>IFERROR(COUNTIF(ScoreData[Task Completion (TC)],5),0)</f>
        <v/>
      </c>
      <c r="D19" s="41">
        <f>IFERROR(COUNTIF(ScoreData[Result Usefulness (RU)],5),0)</f>
        <v/>
      </c>
      <c r="E19" s="41">
        <f>IFERROR(COUNTIF(ScoreData[Clarity &amp; Interpretability (CI)],5),0)</f>
        <v/>
      </c>
      <c r="F19" s="39" t="inlineStr"/>
      <c r="G19" s="39" t="inlineStr"/>
    </row>
    <row r="20" ht="20" customHeight="1">
      <c r="A20" s="42" t="inlineStr"/>
      <c r="B20" s="43" t="inlineStr">
        <is>
          <t>Score 4 — Good</t>
        </is>
      </c>
      <c r="C20" s="41">
        <f>IFERROR(COUNTIF(ScoreData[Task Completion (TC)],4),0)</f>
        <v/>
      </c>
      <c r="D20" s="41">
        <f>IFERROR(COUNTIF(ScoreData[Result Usefulness (RU)],4),0)</f>
        <v/>
      </c>
      <c r="E20" s="41">
        <f>IFERROR(COUNTIF(ScoreData[Clarity &amp; Interpretability (CI)],4),0)</f>
        <v/>
      </c>
      <c r="F20" s="42" t="inlineStr"/>
      <c r="G20" s="42" t="inlineStr"/>
    </row>
    <row r="21" ht="20" customHeight="1">
      <c r="A21" s="44" t="inlineStr"/>
      <c r="B21" s="45" t="inlineStr">
        <is>
          <t>Score 3 — Partial</t>
        </is>
      </c>
      <c r="C21" s="41">
        <f>IFERROR(COUNTIF(ScoreData[Task Completion (TC)],3),0)</f>
        <v/>
      </c>
      <c r="D21" s="41">
        <f>IFERROR(COUNTIF(ScoreData[Result Usefulness (RU)],3),0)</f>
        <v/>
      </c>
      <c r="E21" s="41">
        <f>IFERROR(COUNTIF(ScoreData[Clarity &amp; Interpretability (CI)],3),0)</f>
        <v/>
      </c>
      <c r="F21" s="44" t="inlineStr"/>
      <c r="G21" s="44" t="inlineStr"/>
    </row>
    <row r="22" ht="20" customHeight="1">
      <c r="A22" s="46" t="inlineStr"/>
      <c r="B22" s="47" t="inlineStr">
        <is>
          <t>Score 2 — Poor</t>
        </is>
      </c>
      <c r="C22" s="41">
        <f>IFERROR(COUNTIF(ScoreData[Task Completion (TC)],2),0)</f>
        <v/>
      </c>
      <c r="D22" s="41">
        <f>IFERROR(COUNTIF(ScoreData[Result Usefulness (RU)],2),0)</f>
        <v/>
      </c>
      <c r="E22" s="41">
        <f>IFERROR(COUNTIF(ScoreData[Clarity &amp; Interpretability (CI)],2),0)</f>
        <v/>
      </c>
      <c r="F22" s="46" t="inlineStr"/>
      <c r="G22" s="46" t="inlineStr"/>
    </row>
    <row r="23" ht="20" customHeight="1">
      <c r="A23" s="48" t="inlineStr"/>
      <c r="B23" s="49" t="inlineStr">
        <is>
          <t>Score 1 — Fail</t>
        </is>
      </c>
      <c r="C23" s="41">
        <f>IFERROR(COUNTIF(ScoreData[Task Completion (TC)],1),0)</f>
        <v/>
      </c>
      <c r="D23" s="41">
        <f>IFERROR(COUNTIF(ScoreData[Result Usefulness (RU)],1),0)</f>
        <v/>
      </c>
      <c r="E23" s="41">
        <f>IFERROR(COUNTIF(ScoreData[Clarity &amp; Interpretability (CI)],1),0)</f>
        <v/>
      </c>
      <c r="F23" s="48" t="inlineStr"/>
      <c r="G23" s="48" t="inlineStr"/>
    </row>
    <row r="24" ht="16" customHeight="1">
      <c r="A24" s="39" t="inlineStr"/>
      <c r="B24" s="50" t="inlineStr">
        <is>
          <t xml:space="preserve">   % scoring 5</t>
        </is>
      </c>
      <c r="C24" s="51">
        <f>IFERROR(Results!C19/Results!C18,"—")</f>
        <v/>
      </c>
      <c r="D24" s="51">
        <f>IFERROR(Results!D19/Results!D18,"—")</f>
        <v/>
      </c>
      <c r="E24" s="51">
        <f>IFERROR(Results!E19/Results!E18,"—")</f>
        <v/>
      </c>
      <c r="F24" s="39" t="inlineStr"/>
      <c r="G24" s="39" t="inlineStr"/>
    </row>
    <row r="25" ht="16" customHeight="1">
      <c r="A25" s="42" t="inlineStr"/>
      <c r="B25" s="52" t="inlineStr">
        <is>
          <t xml:space="preserve">   % scoring 4</t>
        </is>
      </c>
      <c r="C25" s="51">
        <f>IFERROR(Results!C20/Results!C18,"—")</f>
        <v/>
      </c>
      <c r="D25" s="51">
        <f>IFERROR(Results!D20/Results!D18,"—")</f>
        <v/>
      </c>
      <c r="E25" s="51">
        <f>IFERROR(Results!E20/Results!E18,"—")</f>
        <v/>
      </c>
      <c r="F25" s="42" t="inlineStr"/>
      <c r="G25" s="42" t="inlineStr"/>
    </row>
    <row r="26" ht="16" customHeight="1">
      <c r="A26" s="44" t="inlineStr"/>
      <c r="B26" s="53" t="inlineStr">
        <is>
          <t xml:space="preserve">   % scoring 3</t>
        </is>
      </c>
      <c r="C26" s="51">
        <f>IFERROR(Results!C21/Results!C18,"—")</f>
        <v/>
      </c>
      <c r="D26" s="51">
        <f>IFERROR(Results!D21/Results!D18,"—")</f>
        <v/>
      </c>
      <c r="E26" s="51">
        <f>IFERROR(Results!E21/Results!E18,"—")</f>
        <v/>
      </c>
      <c r="F26" s="44" t="inlineStr"/>
      <c r="G26" s="44" t="inlineStr"/>
    </row>
    <row r="27" ht="16" customHeight="1">
      <c r="A27" s="46" t="inlineStr"/>
      <c r="B27" s="54" t="inlineStr">
        <is>
          <t xml:space="preserve">   % scoring 2</t>
        </is>
      </c>
      <c r="C27" s="51">
        <f>IFERROR(Results!C22/Results!C18,"—")</f>
        <v/>
      </c>
      <c r="D27" s="51">
        <f>IFERROR(Results!D22/Results!D18,"—")</f>
        <v/>
      </c>
      <c r="E27" s="51">
        <f>IFERROR(Results!E22/Results!E18,"—")</f>
        <v/>
      </c>
      <c r="F27" s="46" t="inlineStr"/>
      <c r="G27" s="46" t="inlineStr"/>
    </row>
    <row r="28" ht="16" customHeight="1">
      <c r="A28" s="48" t="inlineStr"/>
      <c r="B28" s="55" t="inlineStr">
        <is>
          <t xml:space="preserve">   % scoring 1</t>
        </is>
      </c>
      <c r="C28" s="51">
        <f>IFERROR(Results!C23/Results!C18,"—")</f>
        <v/>
      </c>
      <c r="D28" s="51">
        <f>IFERROR(Results!D23/Results!D18,"—")</f>
        <v/>
      </c>
      <c r="E28" s="51">
        <f>IFERROR(Results!E23/Results!E18,"—")</f>
        <v/>
      </c>
      <c r="F28" s="48" t="inlineStr"/>
      <c r="G28" s="48" t="inlineStr"/>
    </row>
    <row r="29" ht="18" customHeight="1">
      <c r="A29" s="23" t="inlineStr"/>
      <c r="B29" s="56" t="inlineStr">
        <is>
          <t>✓ Sanity check (counts should sum to total):</t>
        </is>
      </c>
      <c r="C29" s="57">
        <f>IF((Results!C19+Results!C20+Results!C21+Results!C22+Results!C23)=Results!C18,"✓ OK","⚠ CHECK")</f>
        <v/>
      </c>
      <c r="D29" s="57">
        <f>IF((Results!D19+Results!D20+Results!D21+Results!D22+Results!D23)=Results!D18,"✓ OK","⚠ CHECK")</f>
        <v/>
      </c>
      <c r="E29" s="57">
        <f>IF((Results!E19+Results!E20+Results!E21+Results!E22+Results!E23)=Results!E18,"✓ OK","⚠ CHECK")</f>
        <v/>
      </c>
      <c r="F29" s="23" t="inlineStr"/>
      <c r="G29" s="23" t="inlineStr"/>
    </row>
    <row r="31" ht="22" customHeight="1">
      <c r="A31" s="5" t="inlineStr">
        <is>
          <t>THRESHOLD CHECKS — PASS / FAIL BY DIMENSION</t>
        </is>
      </c>
    </row>
    <row r="32" ht="32" customHeight="1">
      <c r="A32" s="1" t="inlineStr"/>
      <c r="B32" s="36" t="inlineStr">
        <is>
          <t>Dimension</t>
        </is>
      </c>
      <c r="C32" s="36" t="inlineStr">
        <is>
          <t>Floor Score
(from Risk Tier)</t>
        </is>
      </c>
      <c r="D32" s="36" t="inlineStr">
        <is>
          <t>% at Floor+</t>
        </is>
      </c>
      <c r="E32" s="36" t="inlineStr">
        <is>
          <t>Required
Threshold</t>
        </is>
      </c>
      <c r="F32" s="36" t="inlineStr">
        <is>
          <t>Result</t>
        </is>
      </c>
      <c r="G32" s="1" t="inlineStr"/>
    </row>
    <row r="33" ht="28" customHeight="1">
      <c r="A33" s="58" t="inlineStr"/>
      <c r="B33" s="59" t="inlineStr">
        <is>
          <t>Task Completion (TC)</t>
        </is>
      </c>
      <c r="C33" s="60">
        <f>IFS(Setup!$C$21="Low",3,Setup!$C$21="Medium",4,Setup!$C$21="High",4)</f>
        <v/>
      </c>
      <c r="D33" s="32">
        <f>IFERROR(IFERROR(COUNTIF(ScoreData[Task Completion (TC)],"&gt;="&amp;Results!C33),0)/Results!C18,"No data")</f>
        <v/>
      </c>
      <c r="E33" s="61">
        <f>IFS(Setup!$C$21="Low",75%,Setup!$C$21="Medium",85%,Setup!$C$21="High",90%)</f>
        <v/>
      </c>
      <c r="F33" s="62">
        <f>IFERROR(IF(Results!D33&gt;=Results!E33,"PASS","FAIL"),"No data")</f>
        <v/>
      </c>
      <c r="G33" s="58" t="inlineStr"/>
    </row>
    <row r="34" ht="28" customHeight="1">
      <c r="A34" s="58" t="inlineStr"/>
      <c r="B34" s="59" t="inlineStr">
        <is>
          <t>Result Usefulness (RU)</t>
        </is>
      </c>
      <c r="C34" s="60">
        <f>IFS(Setup!$C$21="Low",3,Setup!$C$21="Medium",4,Setup!$C$21="High",4)</f>
        <v/>
      </c>
      <c r="D34" s="32">
        <f>IFERROR(IFERROR(COUNTIF(ScoreData[Result Usefulness (RU)],"&gt;="&amp;Results!C34),0)/Results!D18,"No data")</f>
        <v/>
      </c>
      <c r="E34" s="61">
        <f>IFS(Setup!$C$21="Low",70%,Setup!$C$21="Medium",80%,Setup!$C$21="High",85%)</f>
        <v/>
      </c>
      <c r="F34" s="62">
        <f>IFERROR(IF(Results!D34&gt;=Results!E34,"PASS","FAIL"),"No data")</f>
        <v/>
      </c>
      <c r="G34" s="58" t="inlineStr"/>
    </row>
    <row r="35" ht="28" customHeight="1">
      <c r="A35" s="58" t="inlineStr"/>
      <c r="B35" s="59" t="inlineStr">
        <is>
          <t>Clarity &amp; Interpretability (CI)</t>
        </is>
      </c>
      <c r="C35" s="60">
        <f>IFS(Setup!$C$21="Low",3,Setup!$C$21="Medium",3,Setup!$C$21="High",4)</f>
        <v/>
      </c>
      <c r="D35" s="32">
        <f>IFERROR(IFERROR(COUNTIF(ScoreData[Clarity &amp; Interpretability (CI)],"&gt;="&amp;Results!C35),0)/Results!E18,"No data")</f>
        <v/>
      </c>
      <c r="E35" s="61">
        <f>IFS(Setup!$C$21="Low",75%,Setup!$C$21="Medium",80%,Setup!$C$21="High",85%)</f>
        <v/>
      </c>
      <c r="F35" s="62">
        <f>IFERROR(IF(Results!D35&gt;=Results!E35,"PASS","FAIL"),"No data")</f>
        <v/>
      </c>
      <c r="G35" s="58" t="inlineStr"/>
    </row>
    <row r="37" ht="24" customHeight="1">
      <c r="A37" s="63" t="inlineStr">
        <is>
          <t>OVERALL LAYER 3 GATE DETERMINATION</t>
        </is>
      </c>
    </row>
    <row r="38" ht="32" customHeight="1">
      <c r="A38" s="64" t="inlineStr"/>
      <c r="B38" s="65" t="inlineStr">
        <is>
          <t>Layer 3 Gate:</t>
        </is>
      </c>
      <c r="C38" s="66">
        <f>IFERROR(IF(AND(Results!F33="PASS",Results!F34="PASS",Results!F35="PASS",Results!E13="PASS"),"ALL GATES PASSED","ONE OR MORE GATES FAILED"),"No data")</f>
        <v/>
      </c>
      <c r="G38" s="64" t="inlineStr"/>
    </row>
    <row r="39" ht="22" customHeight="1">
      <c r="B39" s="35" t="inlineStr">
        <is>
          <t>Note: Layer 3 gate PASS requires all three dimension thresholds met AND tester completion rate at threshold. A PASS here does not override a Layer 2 disqualification.</t>
        </is>
      </c>
    </row>
    <row r="41" ht="20" customHeight="1">
      <c r="A41" s="67" t="inlineStr">
        <is>
          <t>THRESHOLD REFERENCE — Active values by risk tier</t>
        </is>
      </c>
    </row>
    <row r="42" ht="20" customHeight="1">
      <c r="A42" s="1" t="inlineStr"/>
      <c r="B42" s="36" t="inlineStr">
        <is>
          <t>Dimension</t>
        </is>
      </c>
      <c r="C42" s="36" t="inlineStr">
        <is>
          <t>Low — Floor / Threshold</t>
        </is>
      </c>
      <c r="D42" s="36" t="inlineStr">
        <is>
          <t>Medium — Floor / Threshold</t>
        </is>
      </c>
      <c r="E42" s="36" t="inlineStr">
        <is>
          <t>High — Floor / Threshold</t>
        </is>
      </c>
      <c r="F42" s="1" t="inlineStr"/>
      <c r="G42" s="1" t="inlineStr"/>
    </row>
    <row r="43" ht="20" customHeight="1">
      <c r="A43" s="4" t="inlineStr"/>
      <c r="B43" s="68" t="inlineStr">
        <is>
          <t>Task Completion (TC)</t>
        </is>
      </c>
      <c r="C43" s="69" t="inlineStr">
        <is>
          <t>Score 3+ / 75%</t>
        </is>
      </c>
      <c r="D43" s="69" t="inlineStr">
        <is>
          <t>Score 4+ / 85%</t>
        </is>
      </c>
      <c r="E43" s="69" t="inlineStr">
        <is>
          <t>Score 4+ / 90%</t>
        </is>
      </c>
      <c r="F43" s="4" t="inlineStr"/>
      <c r="G43" s="4" t="inlineStr"/>
    </row>
    <row r="44" ht="20" customHeight="1">
      <c r="A44" s="13" t="inlineStr"/>
      <c r="B44" s="70" t="inlineStr">
        <is>
          <t>Result Usefulness (RU)</t>
        </is>
      </c>
      <c r="C44" s="71" t="inlineStr">
        <is>
          <t>Score 3+ / 70%</t>
        </is>
      </c>
      <c r="D44" s="71" t="inlineStr">
        <is>
          <t>Score 4+ / 80%</t>
        </is>
      </c>
      <c r="E44" s="71" t="inlineStr">
        <is>
          <t>Score 4+ / 85%</t>
        </is>
      </c>
      <c r="F44" s="13" t="inlineStr"/>
      <c r="G44" s="13" t="inlineStr"/>
    </row>
    <row r="45" ht="20" customHeight="1">
      <c r="A45" s="4" t="inlineStr"/>
      <c r="B45" s="68" t="inlineStr">
        <is>
          <t>Clarity &amp; Interpretability (CI)</t>
        </is>
      </c>
      <c r="C45" s="69" t="inlineStr">
        <is>
          <t>Score 3+ / 75%</t>
        </is>
      </c>
      <c r="D45" s="69" t="inlineStr">
        <is>
          <t>Score 3+ / 80%</t>
        </is>
      </c>
      <c r="E45" s="69" t="inlineStr">
        <is>
          <t>Score 4+ / 85%</t>
        </is>
      </c>
      <c r="F45" s="4" t="inlineStr"/>
      <c r="G45" s="4" t="inlineStr"/>
    </row>
    <row r="46" ht="20" customHeight="1">
      <c r="A46" s="13" t="inlineStr"/>
      <c r="B46" s="70" t="inlineStr">
        <is>
          <t>Tester Completion Rate</t>
        </is>
      </c>
      <c r="C46" s="71" t="inlineStr">
        <is>
          <t>≥ 85%</t>
        </is>
      </c>
      <c r="D46" s="71" t="inlineStr">
        <is>
          <t>≥ 90%</t>
        </is>
      </c>
      <c r="E46" s="71" t="inlineStr">
        <is>
          <t>≥ 95%</t>
        </is>
      </c>
      <c r="F46" s="13" t="inlineStr"/>
      <c r="G46" s="13" t="inlineStr"/>
    </row>
    <row r="47" ht="16" customHeight="1">
      <c r="B47" s="72" t="inlineStr">
        <is>
          <t>Source: ODAE Databricks Genie Space Evaluation Standards, Appendix A.5</t>
        </is>
      </c>
    </row>
  </sheetData>
  <mergeCells count="12">
    <mergeCell ref="B39:F39"/>
    <mergeCell ref="A1:G2"/>
    <mergeCell ref="B47:F47"/>
    <mergeCell ref="A8:G8"/>
    <mergeCell ref="A3:G3"/>
    <mergeCell ref="A31:G31"/>
    <mergeCell ref="C38:F38"/>
    <mergeCell ref="A16:G16"/>
    <mergeCell ref="B14:F14"/>
    <mergeCell ref="A41:G41"/>
    <mergeCell ref="A5:G5"/>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2026-06-16T11:06:05Z</dcterms:created>
  <dcterms:modified xmlns:dcterms="http://purl.org/dc/terms/" xmlns:xsi="http://www.w3.org/2001/XMLSchema-instance" xsi:type="dcterms:W3CDTF">2026-06-16T11:06:05Z</dcterms:modified>
</cp:coreProperties>
</file>