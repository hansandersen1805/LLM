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ession A — Bot A" sheetId="2" state="visible" r:id="rId4"/>
    <sheet name="Session B — Bot B"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<sst xmlns="http://schemas.openxmlformats.org/spreadsheetml/2006/main" count="170" uniqueCount="113">
  <si>
    <t xml:space="preserve">LAYER 3 — USER PREFERENCE TESTING SCORING SHEET</t>
  </si>
  <si>
    <t xml:space="preserve">Chatbot Evaluation Framework  |  Internal Use  |  May 2026</t>
  </si>
  <si>
    <t xml:space="preserve">PURPOSE</t>
  </si>
  <si>
    <t xml:space="preserve">This spreadsheet is for end-user testers evaluating chatbot responses in Layer 3 of the evaluation framework. You will test both bots on separate days and rate your experience using a structured task list.</t>
  </si>
  <si>
    <t xml:space="preserve">YOUR ROLE</t>
  </si>
  <si>
    <t xml:space="preserve">You are evaluating end-user experience only — how useful, clear, and appropriate the responses felt to you as someone who would use this tool in your job. You are NOT being asked to judge technical accuracy, policy compliance, or legal appropriateness. Those are assessed by specialist reviewers in Layer 2.</t>
  </si>
  <si>
    <t xml:space="preserve">SESSION STRUCTURE</t>
  </si>
  <si>
    <t xml:space="preserve">You will complete two sessions — one for Bot A and one for Bot B. There must be at least 24 hours between sessions to reduce anchoring. The evaluation lead will tell you which bot to test first. Half of testers test A→B, the other half test B→A.</t>
  </si>
  <si>
    <t xml:space="preserve">SESSION A</t>
  </si>
  <si>
    <t xml:space="preserve">Complete the SESSION A tab to score Bot A. Work through all tasks in order before any free exploration. Rate each interaction IMMEDIATELY after receiving the response — do not wait until the end of the session.</t>
  </si>
  <si>
    <t xml:space="preserve">SESSION B</t>
  </si>
  <si>
    <t xml:space="preserve">Complete the SESSION B tab to score Bot B. Treat it as a fresh evaluation. Try not to let your Session A experience shape how you approach Session B.</t>
  </si>
  <si>
    <t xml:space="preserve">OVERALL PREFERENCE</t>
  </si>
  <si>
    <t xml:space="preserve">Only complete the OVERALL PREFERENCE section in the Summary tab AFTER finishing both sessions completely. Do not form or record a preference before then.</t>
  </si>
  <si>
    <t xml:space="preserve">WHAT TO RATE</t>
  </si>
  <si>
    <t xml:space="preserve">Task Completion</t>
  </si>
  <si>
    <t xml:space="preserve">Did the bot actually solve your problem? Rate whether it fully completed what you were trying to do — not whether it gave you a long answer.</t>
  </si>
  <si>
    <t xml:space="preserve">Relevance</t>
  </si>
  <si>
    <t xml:space="preserve">Did the response address your actual question? Did it answer what you asked, not something related but different?</t>
  </si>
  <si>
    <t xml:space="preserve">Clarity &amp; Conciseness</t>
  </si>
  <si>
    <t xml:space="preserve">Was the answer easy to understand and appropriately sized? Was it too long, too short, or hard to follow?</t>
  </si>
  <si>
    <t xml:space="preserve">Tone &amp; Professionalism</t>
  </si>
  <si>
    <t xml:space="preserve">Was the response appropriate for a workplace context? Did it feel professional, respectful, and suitable?</t>
  </si>
  <si>
    <t xml:space="preserve">SCORING SCALE</t>
  </si>
  <si>
    <t xml:space="preserve">5 — Excellent</t>
  </si>
  <si>
    <t xml:space="preserve">Fully meets expectations. No issues. Exactly what you needed.</t>
  </si>
  <si>
    <t xml:space="preserve">4 — Good</t>
  </si>
  <si>
    <t xml:space="preserve">Mostly met expectations with one minor issue that did not significantly affect usefulness.</t>
  </si>
  <si>
    <t xml:space="preserve">3 — Partial</t>
  </si>
  <si>
    <t xml:space="preserve">Partially useful but missing something meaningful. You would need to follow up or rephrase.</t>
  </si>
  <si>
    <t xml:space="preserve">2 — Poor</t>
  </si>
  <si>
    <t xml:space="preserve">Largely unhelpful. Did not address your actual need, or was confusing or off-target.</t>
  </si>
  <si>
    <t xml:space="preserve">1 — Fail</t>
  </si>
  <si>
    <t xml:space="preserve">Completely unhelpful, irrelevant, or inappropriate. Provide a written note.</t>
  </si>
  <si>
    <t xml:space="preserve">IMPORTANT RULES</t>
  </si>
  <si>
    <t xml:space="preserve">Do NOT discuss ratings</t>
  </si>
  <si>
    <t xml:space="preserve">Do not discuss your scores with other testers during or after your sessions. Individual experience is what matters — group consensus corrupts the data.</t>
  </si>
  <si>
    <t xml:space="preserve">Do NOT try to identify bots</t>
  </si>
  <si>
    <t xml:space="preserve">Bots are labelled Bot A and Bot B only. If you think you recognise a product, flag it to the evaluation lead rather than factoring it into your ratings.</t>
  </si>
  <si>
    <t xml:space="preserve">Do NOT rate outside your domain</t>
  </si>
  <si>
    <t xml:space="preserve">Only score tasks relevant to your own role. If a task involves subject matter you would normally escalate to another team, write SKIP and flag it to the evaluation lead.</t>
  </si>
  <si>
    <t xml:space="preserve">Do NOT penalise appropriate refusals</t>
  </si>
  <si>
    <t xml:space="preserve">If a bot declines to answer something it reasonably should not — such as confidential data requests or policy violations — that is correct behaviour, not a failure. Rate it based on how clearly it explained why it could not help.</t>
  </si>
  <si>
    <t xml:space="preserve">Rate helpfulness over style</t>
  </si>
  <si>
    <t xml:space="preserve">A friendly but unhelpful response is worse than a direct and useful one. Rate based on whether it actually solved your problem.</t>
  </si>
  <si>
    <t xml:space="preserve">SESSION A — Scoring Bot A</t>
  </si>
  <si>
    <t xml:space="preserve">Tester name:                          Date:                          Session order (circle):   A → B  (you are doing Bot A first)</t>
  </si>
  <si>
    <t xml:space="preserve">Work through ALL tasks in order before any free exploration. Rate each interaction IMMEDIATELY after receiving the response — do not wait until the end. If a task is outside your job domain, write SKIP in the Notes column and flag it to the evaluation lead.</t>
  </si>
  <si>
    <t xml:space="preserve">#</t>
  </si>
  <si>
    <t xml:space="preserve">Task (use your own words when prompting)</t>
  </si>
  <si>
    <t xml:space="preserve">Did the bot complete
your task?
(Yes / Partially / No)</t>
  </si>
  <si>
    <t xml:space="preserve">Task
Completion
1–5</t>
  </si>
  <si>
    <t xml:space="preserve">Relevance
1–5</t>
  </si>
  <si>
    <t xml:space="preserve">Clarity &amp;
Conciseness
1–5</t>
  </si>
  <si>
    <t xml:space="preserve">Tone &amp;
Professionalism
1–5</t>
  </si>
  <si>
    <t xml:space="preserve">Notes / FLAG / SKIP
(required for any score of 1)</t>
  </si>
  <si>
    <t xml:space="preserve">Summarise the key points of our expense reimbursement policy</t>
  </si>
  <si>
    <t xml:space="preserve">Explain the process for requesting annual leave</t>
  </si>
  <si>
    <t xml:space="preserve">What is the policy on working from home more than 3 days per week?</t>
  </si>
  <si>
    <t xml:space="preserve">How do I raise a formal grievance about a colleague?</t>
  </si>
  <si>
    <t xml:space="preserve">What training is available for new managers?</t>
  </si>
  <si>
    <t xml:space="preserve">Explain what counts as a conflict of interest under company policy</t>
  </si>
  <si>
    <t xml:space="preserve">How do I report a health and safety concern?</t>
  </si>
  <si>
    <t xml:space="preserve">What are the steps to onboard a new team member?</t>
  </si>
  <si>
    <t xml:space="preserve">Summarise the data protection rules for handling customer information</t>
  </si>
  <si>
    <t xml:space="preserve">What is the procedure if I need to take emergency leave?</t>
  </si>
  <si>
    <t xml:space="preserve">How do I request access to a restricted system?</t>
  </si>
  <si>
    <t xml:space="preserve">What support is available for employees experiencing mental health challenges?</t>
  </si>
  <si>
    <t xml:space="preserve">Explain the company's policy on gifts and hospitality</t>
  </si>
  <si>
    <t xml:space="preserve">What are my obligations if I suspect a colleague of misconduct?</t>
  </si>
  <si>
    <t xml:space="preserve">How do I escalate an IT security concern?</t>
  </si>
  <si>
    <t xml:space="preserve">[Free choice — ask something relevant to your role]</t>
  </si>
  <si>
    <t xml:space="preserve">Tasks 1–15: structured task list. Tasks 16–20: free choice — use these to probe edge cases, ambiguous questions, or scenarios specific to your role that are not covered above.</t>
  </si>
  <si>
    <t xml:space="preserve">Overall session rating for Bot A (1–5):</t>
  </si>
  <si>
    <t xml:space="preserve">Rate your overall experience of this bot across the full session — not just one task.</t>
  </si>
  <si>
    <t xml:space="preserve">Session averages (auto-calculated):</t>
  </si>
  <si>
    <t xml:space="preserve">Avg Task Completion</t>
  </si>
  <si>
    <t xml:space="preserve">Avg Relevance</t>
  </si>
  <si>
    <t xml:space="preserve">Avg Clarity</t>
  </si>
  <si>
    <t xml:space="preserve">Avg Tone</t>
  </si>
  <si>
    <t xml:space="preserve">SESSION B — Scoring Bot B</t>
  </si>
  <si>
    <t xml:space="preserve">Tester name:                          Date:                          Session order (circle):   B → A  (you are doing Bot B first)</t>
  </si>
  <si>
    <t xml:space="preserve">Overall session rating for Bot B (1–5):</t>
  </si>
  <si>
    <t xml:space="preserve">SUMMARY — Layer 3 User Preference Results</t>
  </si>
  <si>
    <t xml:space="preserve">This summary auto-calculates from Session A and Session B tabs. Complete BOTH session tabs fully before reviewing this summary. Only complete the Overall Preference section AFTER finishing both sessions.</t>
  </si>
  <si>
    <t xml:space="preserve">DIMENSION AVERAGES AND THRESHOLD STATUS — Medium Risk</t>
  </si>
  <si>
    <t xml:space="preserve">Dimension</t>
  </si>
  <si>
    <t xml:space="preserve">L3 Weight</t>
  </si>
  <si>
    <t xml:space="preserve">Bot A Avg
(Session A)</t>
  </si>
  <si>
    <t xml:space="preserve">Bot B Avg
(Session B)</t>
  </si>
  <si>
    <t xml:space="preserve">Medium Risk
Threshold</t>
  </si>
  <si>
    <t xml:space="preserve">Status</t>
  </si>
  <si>
    <t xml:space="preserve">44%</t>
  </si>
  <si>
    <t xml:space="preserve">85% score 4+
(Hard threshold)</t>
  </si>
  <si>
    <t xml:space="preserve">22%</t>
  </si>
  <si>
    <t xml:space="preserve">80% score 3+
(Soft floor)</t>
  </si>
  <si>
    <t xml:space="preserve">12%</t>
  </si>
  <si>
    <t xml:space="preserve">LAYER 3 WEIGHTED SCORECARD (applies only if both bots cleared all thresholds)</t>
  </si>
  <si>
    <t xml:space="preserve">Bot A Avg</t>
  </si>
  <si>
    <t xml:space="preserve">Bot A Weighted</t>
  </si>
  <si>
    <t xml:space="preserve">Bot B Avg</t>
  </si>
  <si>
    <t xml:space="preserve">Bot B Weighted</t>
  </si>
  <si>
    <t xml:space="preserve">TOTAL LAYER 3 SCORE</t>
  </si>
  <si>
    <t xml:space="preserve">100%</t>
  </si>
  <si>
    <t xml:space="preserve">Layer 3 Margin (Bot A − Bot B) ÷ 5.0 × 100</t>
  </si>
  <si>
    <t xml:space="preserve">OVERALL PREFERENCE — Complete ONLY after both sessions are fully finished</t>
  </si>
  <si>
    <t xml:space="preserve">Do not record an overall preference until you have completed all tasks in both Session A and Session B. Forming a preference mid-session biases your per-task ratings.</t>
  </si>
  <si>
    <t xml:space="preserve">Overall, which bot better met your needs?</t>
  </si>
  <si>
    <t xml:space="preserve">Which bot was easier to understand?</t>
  </si>
  <si>
    <t xml:space="preserve">Which bot felt more appropriate for work?</t>
  </si>
  <si>
    <t xml:space="preserve">Which bot would you prefer to use daily?</t>
  </si>
  <si>
    <t xml:space="preserve">Any overall comments (optional):</t>
  </si>
  <si>
    <t xml:space="preserve">Your individual preference data will be aggregated across all testers. Do not share your responses with other testers before the evaluation is complete.</t>
  </si>
</sst>
</file>

<file path=xl/styles.xml><?xml version="1.0" encoding="utf-8"?>
<styleSheet xmlns="http://schemas.openxmlformats.org/spreadsheetml/2006/main">
  <numFmts count="4">
    <numFmt numFmtId="164" formatCode="General"/>
    <numFmt numFmtId="165" formatCode="0.00"/>
    <numFmt numFmtId="166" formatCode="0.000"/>
    <numFmt numFmtId="167" formatCode="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sz val="9"/>
      <color rgb="FF1F1F1F"/>
      <name val="Arial"/>
      <family val="0"/>
      <charset val="1"/>
    </font>
    <font>
      <b val="true"/>
      <sz val="9"/>
      <color rgb="FF1F3864"/>
      <name val="Arial"/>
      <family val="0"/>
      <charset val="1"/>
    </font>
    <font>
      <b val="true"/>
      <sz val="13"/>
      <color rgb="FFFFFFFF"/>
      <name val="Arial"/>
      <family val="0"/>
      <charset val="1"/>
    </font>
    <font>
      <i val="true"/>
      <sz val="9"/>
      <color rgb="FF1F1F1F"/>
      <name val="Arial"/>
      <family val="0"/>
      <charset val="1"/>
    </font>
    <font>
      <b val="true"/>
      <sz val="9"/>
      <color rgb="FFFFFFFF"/>
      <name val="Arial"/>
      <family val="0"/>
      <charset val="1"/>
    </font>
    <font>
      <b val="true"/>
      <sz val="10"/>
      <color rgb="FF1F1F1F"/>
      <name val="Arial"/>
      <family val="0"/>
      <charset val="1"/>
    </font>
    <font>
      <sz val="10"/>
      <color rgb="FF1F1F1F"/>
      <name val="Arial"/>
      <family val="0"/>
      <charset val="1"/>
    </font>
    <font>
      <i val="true"/>
      <sz val="10"/>
      <color rgb="FF595959"/>
      <name val="Arial"/>
      <family val="0"/>
      <charset val="1"/>
    </font>
    <font>
      <b val="true"/>
      <sz val="12"/>
      <color rgb="FF1F1F1F"/>
      <name val="Arial"/>
      <family val="0"/>
      <charset val="1"/>
    </font>
    <font>
      <i val="true"/>
      <sz val="9"/>
      <color rgb="FF595959"/>
      <name val="Arial"/>
      <family val="0"/>
      <charset val="1"/>
    </font>
    <font>
      <b val="true"/>
      <sz val="8"/>
      <color rgb="FF1F3864"/>
      <name val="Arial"/>
      <family val="0"/>
      <charset val="1"/>
    </font>
    <font>
      <b val="true"/>
      <sz val="11"/>
      <color rgb="FF1F1F1F"/>
      <name val="Arial"/>
      <family val="0"/>
      <charset val="1"/>
    </font>
    <font>
      <b val="true"/>
      <sz val="10"/>
      <color rgb="FFFFFFFF"/>
      <name val="Arial"/>
      <family val="0"/>
      <charset val="1"/>
    </font>
    <font>
      <b val="true"/>
      <sz val="10"/>
      <color rgb="FF2E75B6"/>
      <name val="Arial"/>
      <family val="0"/>
      <charset val="1"/>
    </font>
    <font>
      <b val="true"/>
      <sz val="9"/>
      <color rgb="FF1F1F1F"/>
      <name val="Arial"/>
      <family val="0"/>
      <charset val="1"/>
    </font>
    <font>
      <b val="true"/>
      <sz val="11"/>
      <color rgb="FFFFFFFF"/>
      <name val="Arial"/>
      <family val="0"/>
      <charset val="1"/>
    </font>
  </fonts>
  <fills count="1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FFFFF"/>
        <bgColor rgb="FFF2F2F2"/>
      </patternFill>
    </fill>
    <fill>
      <patternFill patternType="solid">
        <fgColor rgb="FFF2F2F2"/>
        <bgColor rgb="FFEBF3FB"/>
      </patternFill>
    </fill>
    <fill>
      <patternFill patternType="solid">
        <fgColor rgb="FFEBF3FB"/>
        <bgColor rgb="FFF2F2F2"/>
      </patternFill>
    </fill>
    <fill>
      <patternFill patternType="solid">
        <fgColor rgb="FFFFF2CC"/>
        <bgColor rgb="FFF2F2F2"/>
      </patternFill>
    </fill>
    <fill>
      <patternFill patternType="solid">
        <fgColor rgb="FF375623"/>
        <bgColor rgb="FF595959"/>
      </patternFill>
    </fill>
    <fill>
      <patternFill patternType="solid">
        <fgColor rgb="FFE2EFDA"/>
        <bgColor rgb="FFF2F2F2"/>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2E75B6"/>
      </left>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left" vertical="center" textRotation="0" wrapText="true" indent="0" shrinkToFit="false"/>
      <protection locked="true" hidden="false"/>
    </xf>
    <xf numFmtId="164" fontId="10" fillId="3" borderId="3"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5" fontId="17" fillId="6" borderId="1"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6" fillId="9" borderId="0" xfId="0" applyFont="true" applyBorder="true" applyAlignment="true" applyProtection="false">
      <alignment horizontal="left" vertical="center" textRotation="0" wrapText="true" indent="0" shrinkToFit="false"/>
      <protection locked="true" hidden="false"/>
    </xf>
    <xf numFmtId="164" fontId="9" fillId="9" borderId="2"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18" fillId="3" borderId="0"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5" fontId="17" fillId="9"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5" fontId="12" fillId="6" borderId="1" xfId="0" applyFont="true" applyBorder="true" applyAlignment="true" applyProtection="false">
      <alignment horizontal="center" vertical="center" textRotation="0" wrapText="true" indent="0" shrinkToFit="false"/>
      <protection locked="true" hidden="false"/>
    </xf>
    <xf numFmtId="166" fontId="12" fillId="5" borderId="1" xfId="0" applyFont="true" applyBorder="true" applyAlignment="true" applyProtection="false">
      <alignment horizontal="center" vertical="center" textRotation="0" wrapText="true" indent="0" shrinkToFit="false"/>
      <protection locked="true" hidden="false"/>
    </xf>
    <xf numFmtId="165" fontId="12" fillId="9"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6" fontId="21" fillId="3" borderId="1"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7" fontId="17" fillId="7" borderId="1" xfId="0" applyFont="true" applyBorder="true" applyAlignment="true" applyProtection="false">
      <alignment horizontal="center" vertical="center" textRotation="0" wrapText="true" indent="0" shrinkToFit="false"/>
      <protection locked="true" hidden="false"/>
    </xf>
    <xf numFmtId="164" fontId="20" fillId="6" borderId="3"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left" vertical="center" textRotation="0" wrapText="true" indent="0" shrinkToFit="false"/>
      <protection locked="true" hidden="false"/>
    </xf>
    <xf numFmtId="164" fontId="11" fillId="7"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20" fillId="5" borderId="3" xfId="0" applyFont="true" applyBorder="true" applyAlignment="true" applyProtection="false">
      <alignment horizontal="left" vertical="center" textRotation="0" wrapText="true" indent="0" shrinkToFit="false"/>
      <protection locked="true" hidden="false"/>
    </xf>
    <xf numFmtId="164" fontId="0" fillId="4" borderId="3" xfId="0" applyFont="fals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68"/>
    <col collapsed="false" customWidth="true" hidden="false" outlineLevel="0" max="4" min="4" style="0" width="2"/>
  </cols>
  <sheetData>
    <row r="1" customFormat="false" ht="36" hidden="false" customHeight="true" outlineLevel="0" collapsed="false">
      <c r="B1" s="1" t="s">
        <v>0</v>
      </c>
      <c r="C1" s="1"/>
    </row>
    <row r="2" customFormat="false" ht="19.5" hidden="false" customHeight="true" outlineLevel="0" collapsed="false">
      <c r="B2" s="2" t="s">
        <v>1</v>
      </c>
      <c r="C2" s="2"/>
    </row>
    <row r="4" customFormat="false" ht="24" hidden="false" customHeight="true" outlineLevel="0" collapsed="false">
      <c r="B4" s="3"/>
      <c r="C4" s="3"/>
    </row>
    <row r="5" customFormat="false" ht="39.75" hidden="false" customHeight="true" outlineLevel="0" collapsed="false">
      <c r="B5" s="4" t="s">
        <v>2</v>
      </c>
      <c r="C5" s="3" t="s">
        <v>3</v>
      </c>
    </row>
    <row r="6" customFormat="false" ht="39.75" hidden="false" customHeight="true" outlineLevel="0" collapsed="false">
      <c r="B6" s="4" t="s">
        <v>4</v>
      </c>
      <c r="C6" s="3" t="s">
        <v>5</v>
      </c>
    </row>
    <row r="7" customFormat="false" ht="24" hidden="false" customHeight="true" outlineLevel="0" collapsed="false">
      <c r="B7" s="3"/>
      <c r="C7" s="3"/>
    </row>
    <row r="8" customFormat="false" ht="39.75" hidden="false" customHeight="true" outlineLevel="0" collapsed="false">
      <c r="B8" s="4" t="s">
        <v>6</v>
      </c>
      <c r="C8" s="5" t="s">
        <v>7</v>
      </c>
    </row>
    <row r="9" customFormat="false" ht="39.75" hidden="false" customHeight="true" outlineLevel="0" collapsed="false">
      <c r="B9" s="4" t="s">
        <v>8</v>
      </c>
      <c r="C9" s="5" t="s">
        <v>9</v>
      </c>
    </row>
    <row r="10" customFormat="false" ht="39.75" hidden="false" customHeight="true" outlineLevel="0" collapsed="false">
      <c r="B10" s="4" t="s">
        <v>10</v>
      </c>
      <c r="C10" s="5" t="s">
        <v>11</v>
      </c>
    </row>
    <row r="11" customFormat="false" ht="39.75" hidden="false" customHeight="true" outlineLevel="0" collapsed="false">
      <c r="B11" s="4" t="s">
        <v>12</v>
      </c>
      <c r="C11" s="3" t="s">
        <v>13</v>
      </c>
    </row>
    <row r="12" customFormat="false" ht="24" hidden="false" customHeight="true" outlineLevel="0" collapsed="false">
      <c r="B12" s="3"/>
      <c r="C12" s="3"/>
    </row>
    <row r="13" customFormat="false" ht="24" hidden="false" customHeight="true" outlineLevel="0" collapsed="false">
      <c r="B13" s="4" t="s">
        <v>14</v>
      </c>
      <c r="C13" s="5"/>
    </row>
    <row r="14" customFormat="false" ht="39.75" hidden="false" customHeight="true" outlineLevel="0" collapsed="false">
      <c r="B14" s="4" t="s">
        <v>15</v>
      </c>
      <c r="C14" s="3" t="s">
        <v>16</v>
      </c>
    </row>
    <row r="15" customFormat="false" ht="39.75" hidden="false" customHeight="true" outlineLevel="0" collapsed="false">
      <c r="B15" s="4" t="s">
        <v>17</v>
      </c>
      <c r="C15" s="3" t="s">
        <v>18</v>
      </c>
    </row>
    <row r="16" customFormat="false" ht="39.75" hidden="false" customHeight="true" outlineLevel="0" collapsed="false">
      <c r="B16" s="4" t="s">
        <v>19</v>
      </c>
      <c r="C16" s="3" t="s">
        <v>20</v>
      </c>
    </row>
    <row r="17" customFormat="false" ht="39.75" hidden="false" customHeight="true" outlineLevel="0" collapsed="false">
      <c r="B17" s="4" t="s">
        <v>21</v>
      </c>
      <c r="C17" s="3" t="s">
        <v>22</v>
      </c>
    </row>
    <row r="18" customFormat="false" ht="24" hidden="false" customHeight="true" outlineLevel="0" collapsed="false">
      <c r="B18" s="3"/>
      <c r="C18" s="3"/>
    </row>
    <row r="19" customFormat="false" ht="24" hidden="false" customHeight="true" outlineLevel="0" collapsed="false">
      <c r="B19" s="4" t="s">
        <v>23</v>
      </c>
      <c r="C19" s="5"/>
    </row>
    <row r="20" customFormat="false" ht="24" hidden="false" customHeight="true" outlineLevel="0" collapsed="false">
      <c r="B20" s="4" t="s">
        <v>24</v>
      </c>
      <c r="C20" s="3" t="s">
        <v>25</v>
      </c>
    </row>
    <row r="21" customFormat="false" ht="39.75" hidden="false" customHeight="true" outlineLevel="0" collapsed="false">
      <c r="B21" s="4" t="s">
        <v>26</v>
      </c>
      <c r="C21" s="3" t="s">
        <v>27</v>
      </c>
    </row>
    <row r="22" customFormat="false" ht="39.75" hidden="false" customHeight="true" outlineLevel="0" collapsed="false">
      <c r="B22" s="4" t="s">
        <v>28</v>
      </c>
      <c r="C22" s="3" t="s">
        <v>29</v>
      </c>
    </row>
    <row r="23" customFormat="false" ht="39.75" hidden="false" customHeight="true" outlineLevel="0" collapsed="false">
      <c r="B23" s="4" t="s">
        <v>30</v>
      </c>
      <c r="C23" s="3" t="s">
        <v>31</v>
      </c>
    </row>
    <row r="24" customFormat="false" ht="24" hidden="false" customHeight="true" outlineLevel="0" collapsed="false">
      <c r="B24" s="4" t="s">
        <v>32</v>
      </c>
      <c r="C24" s="3" t="s">
        <v>33</v>
      </c>
    </row>
    <row r="25" customFormat="false" ht="24" hidden="false" customHeight="true" outlineLevel="0" collapsed="false">
      <c r="B25" s="3"/>
      <c r="C25" s="3"/>
    </row>
    <row r="26" customFormat="false" ht="24" hidden="false" customHeight="true" outlineLevel="0" collapsed="false">
      <c r="B26" s="4" t="s">
        <v>34</v>
      </c>
      <c r="C26" s="5"/>
    </row>
    <row r="27" customFormat="false" ht="39.75" hidden="false" customHeight="true" outlineLevel="0" collapsed="false">
      <c r="B27" s="4" t="s">
        <v>35</v>
      </c>
      <c r="C27" s="3" t="s">
        <v>36</v>
      </c>
    </row>
    <row r="28" customFormat="false" ht="39.75" hidden="false" customHeight="true" outlineLevel="0" collapsed="false">
      <c r="B28" s="4" t="s">
        <v>37</v>
      </c>
      <c r="C28" s="3" t="s">
        <v>38</v>
      </c>
    </row>
    <row r="29" customFormat="false" ht="39.75" hidden="false" customHeight="true" outlineLevel="0" collapsed="false">
      <c r="B29" s="4" t="s">
        <v>39</v>
      </c>
      <c r="C29" s="3" t="s">
        <v>40</v>
      </c>
    </row>
    <row r="30" customFormat="false" ht="39.75" hidden="false" customHeight="true" outlineLevel="0" collapsed="false">
      <c r="B30" s="4" t="s">
        <v>41</v>
      </c>
      <c r="C30" s="3" t="s">
        <v>42</v>
      </c>
    </row>
    <row r="31" customFormat="false" ht="39.75" hidden="false" customHeight="true" outlineLevel="0" collapsed="false">
      <c r="B31" s="4" t="s">
        <v>43</v>
      </c>
      <c r="C31" s="3" t="s">
        <v>44</v>
      </c>
    </row>
  </sheetData>
  <mergeCells count="2">
    <mergeCell ref="B1:C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48"/>
    <col collapsed="false" customWidth="true" hidden="false" outlineLevel="0" max="4" min="4" style="0" width="16"/>
    <col collapsed="false" customWidth="true" hidden="false" outlineLevel="0" max="8" min="5" style="0" width="14"/>
    <col collapsed="false" customWidth="true" hidden="false" outlineLevel="0" max="9" min="9" style="0" width="32"/>
    <col collapsed="false" customWidth="true" hidden="false" outlineLevel="0" max="10" min="10" style="0" width="2"/>
  </cols>
  <sheetData>
    <row r="1" customFormat="false" ht="33.75" hidden="false" customHeight="true" outlineLevel="0" collapsed="false">
      <c r="B1" s="6" t="s">
        <v>45</v>
      </c>
      <c r="C1" s="6"/>
      <c r="D1" s="6"/>
      <c r="E1" s="6"/>
      <c r="F1" s="6"/>
      <c r="G1" s="6"/>
      <c r="H1" s="6"/>
      <c r="I1" s="6"/>
    </row>
    <row r="2" customFormat="false" ht="21.75" hidden="false" customHeight="true" outlineLevel="0" collapsed="false">
      <c r="B2" s="7" t="s">
        <v>46</v>
      </c>
      <c r="C2" s="7"/>
      <c r="D2" s="7"/>
      <c r="E2" s="7"/>
      <c r="F2" s="7"/>
      <c r="G2" s="7"/>
      <c r="H2" s="7"/>
      <c r="I2" s="7"/>
    </row>
    <row r="3" customFormat="false" ht="30" hidden="false" customHeight="true" outlineLevel="0" collapsed="false">
      <c r="B3" s="8" t="s">
        <v>47</v>
      </c>
      <c r="C3" s="8"/>
      <c r="D3" s="8"/>
      <c r="E3" s="8"/>
      <c r="F3" s="8"/>
      <c r="G3" s="8"/>
      <c r="H3" s="8"/>
      <c r="I3" s="8"/>
    </row>
    <row r="4" customFormat="false" ht="51.75" hidden="false" customHeight="true" outlineLevel="0" collapsed="false">
      <c r="B4" s="9" t="s">
        <v>48</v>
      </c>
      <c r="C4" s="9" t="s">
        <v>49</v>
      </c>
      <c r="D4" s="10" t="s">
        <v>50</v>
      </c>
      <c r="E4" s="10" t="s">
        <v>51</v>
      </c>
      <c r="F4" s="10" t="s">
        <v>52</v>
      </c>
      <c r="G4" s="10" t="s">
        <v>53</v>
      </c>
      <c r="H4" s="10" t="s">
        <v>54</v>
      </c>
      <c r="I4" s="9" t="s">
        <v>55</v>
      </c>
    </row>
    <row r="5" customFormat="false" ht="51.75" hidden="false" customHeight="true" outlineLevel="0" collapsed="false">
      <c r="B5" s="11" t="n">
        <v>1</v>
      </c>
      <c r="C5" s="12" t="s">
        <v>56</v>
      </c>
      <c r="D5" s="13"/>
      <c r="E5" s="13"/>
      <c r="F5" s="13"/>
      <c r="G5" s="13"/>
      <c r="H5" s="13"/>
      <c r="I5" s="12"/>
    </row>
    <row r="6" customFormat="false" ht="51.75" hidden="false" customHeight="true" outlineLevel="0" collapsed="false">
      <c r="B6" s="14" t="n">
        <v>2</v>
      </c>
      <c r="C6" s="15" t="s">
        <v>57</v>
      </c>
      <c r="D6" s="13"/>
      <c r="E6" s="13"/>
      <c r="F6" s="13"/>
      <c r="G6" s="13"/>
      <c r="H6" s="13"/>
      <c r="I6" s="15"/>
    </row>
    <row r="7" customFormat="false" ht="51.75" hidden="false" customHeight="true" outlineLevel="0" collapsed="false">
      <c r="B7" s="11" t="n">
        <v>3</v>
      </c>
      <c r="C7" s="12" t="s">
        <v>58</v>
      </c>
      <c r="D7" s="13"/>
      <c r="E7" s="13"/>
      <c r="F7" s="13"/>
      <c r="G7" s="13"/>
      <c r="H7" s="13"/>
      <c r="I7" s="12"/>
    </row>
    <row r="8" customFormat="false" ht="51.75" hidden="false" customHeight="true" outlineLevel="0" collapsed="false">
      <c r="B8" s="14" t="n">
        <v>4</v>
      </c>
      <c r="C8" s="15" t="s">
        <v>59</v>
      </c>
      <c r="D8" s="13"/>
      <c r="E8" s="13"/>
      <c r="F8" s="13"/>
      <c r="G8" s="13"/>
      <c r="H8" s="13"/>
      <c r="I8" s="15"/>
    </row>
    <row r="9" customFormat="false" ht="51.75" hidden="false" customHeight="true" outlineLevel="0" collapsed="false">
      <c r="B9" s="11" t="n">
        <v>5</v>
      </c>
      <c r="C9" s="12" t="s">
        <v>60</v>
      </c>
      <c r="D9" s="13"/>
      <c r="E9" s="13"/>
      <c r="F9" s="13"/>
      <c r="G9" s="13"/>
      <c r="H9" s="13"/>
      <c r="I9" s="12"/>
    </row>
    <row r="10" customFormat="false" ht="51.75" hidden="false" customHeight="true" outlineLevel="0" collapsed="false">
      <c r="B10" s="14" t="n">
        <v>6</v>
      </c>
      <c r="C10" s="15" t="s">
        <v>61</v>
      </c>
      <c r="D10" s="13"/>
      <c r="E10" s="13"/>
      <c r="F10" s="13"/>
      <c r="G10" s="13"/>
      <c r="H10" s="13"/>
      <c r="I10" s="15"/>
    </row>
    <row r="11" customFormat="false" ht="51.75" hidden="false" customHeight="true" outlineLevel="0" collapsed="false">
      <c r="B11" s="11" t="n">
        <v>7</v>
      </c>
      <c r="C11" s="12" t="s">
        <v>62</v>
      </c>
      <c r="D11" s="13"/>
      <c r="E11" s="13"/>
      <c r="F11" s="13"/>
      <c r="G11" s="13"/>
      <c r="H11" s="13"/>
      <c r="I11" s="12"/>
    </row>
    <row r="12" customFormat="false" ht="51.75" hidden="false" customHeight="true" outlineLevel="0" collapsed="false">
      <c r="B12" s="14" t="n">
        <v>8</v>
      </c>
      <c r="C12" s="15" t="s">
        <v>63</v>
      </c>
      <c r="D12" s="13"/>
      <c r="E12" s="13"/>
      <c r="F12" s="13"/>
      <c r="G12" s="13"/>
      <c r="H12" s="13"/>
      <c r="I12" s="15"/>
    </row>
    <row r="13" customFormat="false" ht="51.75" hidden="false" customHeight="true" outlineLevel="0" collapsed="false">
      <c r="B13" s="11" t="n">
        <v>9</v>
      </c>
      <c r="C13" s="12" t="s">
        <v>64</v>
      </c>
      <c r="D13" s="13"/>
      <c r="E13" s="13"/>
      <c r="F13" s="13"/>
      <c r="G13" s="13"/>
      <c r="H13" s="13"/>
      <c r="I13" s="12"/>
    </row>
    <row r="14" customFormat="false" ht="51.75" hidden="false" customHeight="true" outlineLevel="0" collapsed="false">
      <c r="B14" s="14" t="n">
        <v>10</v>
      </c>
      <c r="C14" s="15" t="s">
        <v>65</v>
      </c>
      <c r="D14" s="13"/>
      <c r="E14" s="13"/>
      <c r="F14" s="13"/>
      <c r="G14" s="13"/>
      <c r="H14" s="13"/>
      <c r="I14" s="15"/>
    </row>
    <row r="15" customFormat="false" ht="51.75" hidden="false" customHeight="true" outlineLevel="0" collapsed="false">
      <c r="B15" s="11" t="n">
        <v>11</v>
      </c>
      <c r="C15" s="12" t="s">
        <v>66</v>
      </c>
      <c r="D15" s="13"/>
      <c r="E15" s="13"/>
      <c r="F15" s="13"/>
      <c r="G15" s="13"/>
      <c r="H15" s="13"/>
      <c r="I15" s="12"/>
    </row>
    <row r="16" customFormat="false" ht="51.75" hidden="false" customHeight="true" outlineLevel="0" collapsed="false">
      <c r="B16" s="14" t="n">
        <v>12</v>
      </c>
      <c r="C16" s="15" t="s">
        <v>67</v>
      </c>
      <c r="D16" s="13"/>
      <c r="E16" s="13"/>
      <c r="F16" s="13"/>
      <c r="G16" s="13"/>
      <c r="H16" s="13"/>
      <c r="I16" s="15"/>
    </row>
    <row r="17" customFormat="false" ht="51.75" hidden="false" customHeight="true" outlineLevel="0" collapsed="false">
      <c r="B17" s="11" t="n">
        <v>13</v>
      </c>
      <c r="C17" s="12" t="s">
        <v>68</v>
      </c>
      <c r="D17" s="13"/>
      <c r="E17" s="13"/>
      <c r="F17" s="13"/>
      <c r="G17" s="13"/>
      <c r="H17" s="13"/>
      <c r="I17" s="12"/>
    </row>
    <row r="18" customFormat="false" ht="51.75" hidden="false" customHeight="true" outlineLevel="0" collapsed="false">
      <c r="B18" s="14" t="n">
        <v>14</v>
      </c>
      <c r="C18" s="15" t="s">
        <v>69</v>
      </c>
      <c r="D18" s="13"/>
      <c r="E18" s="13"/>
      <c r="F18" s="13"/>
      <c r="G18" s="13"/>
      <c r="H18" s="13"/>
      <c r="I18" s="15"/>
    </row>
    <row r="19" customFormat="false" ht="51.75" hidden="false" customHeight="true" outlineLevel="0" collapsed="false">
      <c r="B19" s="11" t="n">
        <v>15</v>
      </c>
      <c r="C19" s="12" t="s">
        <v>70</v>
      </c>
      <c r="D19" s="13"/>
      <c r="E19" s="13"/>
      <c r="F19" s="13"/>
      <c r="G19" s="13"/>
      <c r="H19" s="13"/>
      <c r="I19" s="12"/>
    </row>
    <row r="20" customFormat="false" ht="51.75" hidden="false" customHeight="true" outlineLevel="0" collapsed="false">
      <c r="B20" s="14" t="n">
        <v>16</v>
      </c>
      <c r="C20" s="16" t="s">
        <v>71</v>
      </c>
      <c r="D20" s="13"/>
      <c r="E20" s="13"/>
      <c r="F20" s="13"/>
      <c r="G20" s="13"/>
      <c r="H20" s="13"/>
      <c r="I20" s="15"/>
    </row>
    <row r="21" customFormat="false" ht="51.75" hidden="false" customHeight="true" outlineLevel="0" collapsed="false">
      <c r="B21" s="11" t="n">
        <v>17</v>
      </c>
      <c r="C21" s="16" t="s">
        <v>71</v>
      </c>
      <c r="D21" s="13"/>
      <c r="E21" s="13"/>
      <c r="F21" s="13"/>
      <c r="G21" s="13"/>
      <c r="H21" s="13"/>
      <c r="I21" s="12"/>
    </row>
    <row r="22" customFormat="false" ht="51.75" hidden="false" customHeight="true" outlineLevel="0" collapsed="false">
      <c r="B22" s="14" t="n">
        <v>18</v>
      </c>
      <c r="C22" s="16" t="s">
        <v>71</v>
      </c>
      <c r="D22" s="13"/>
      <c r="E22" s="13"/>
      <c r="F22" s="13"/>
      <c r="G22" s="13"/>
      <c r="H22" s="13"/>
      <c r="I22" s="15"/>
    </row>
    <row r="23" customFormat="false" ht="51.75" hidden="false" customHeight="true" outlineLevel="0" collapsed="false">
      <c r="B23" s="11" t="n">
        <v>19</v>
      </c>
      <c r="C23" s="16" t="s">
        <v>71</v>
      </c>
      <c r="D23" s="13"/>
      <c r="E23" s="13"/>
      <c r="F23" s="13"/>
      <c r="G23" s="13"/>
      <c r="H23" s="13"/>
      <c r="I23" s="12"/>
    </row>
    <row r="24" customFormat="false" ht="51.75" hidden="false" customHeight="true" outlineLevel="0" collapsed="false">
      <c r="B24" s="14" t="n">
        <v>20</v>
      </c>
      <c r="C24" s="16" t="s">
        <v>71</v>
      </c>
      <c r="D24" s="13"/>
      <c r="E24" s="13"/>
      <c r="F24" s="13"/>
      <c r="G24" s="13"/>
      <c r="H24" s="13"/>
      <c r="I24" s="15"/>
    </row>
    <row r="25" customFormat="false" ht="30" hidden="false" customHeight="true" outlineLevel="0" collapsed="false">
      <c r="B25" s="17" t="s">
        <v>72</v>
      </c>
      <c r="C25" s="17"/>
      <c r="D25" s="17"/>
      <c r="E25" s="17"/>
      <c r="F25" s="17"/>
      <c r="G25" s="17"/>
      <c r="H25" s="17"/>
      <c r="I25" s="17"/>
    </row>
    <row r="27" customFormat="false" ht="27.75" hidden="false" customHeight="true" outlineLevel="0" collapsed="false">
      <c r="B27" s="18" t="s">
        <v>73</v>
      </c>
      <c r="C27" s="18"/>
      <c r="D27" s="19"/>
      <c r="E27" s="20" t="s">
        <v>74</v>
      </c>
      <c r="F27" s="20"/>
      <c r="G27" s="20"/>
      <c r="H27" s="20"/>
      <c r="I27" s="20"/>
    </row>
    <row r="29" customFormat="false" ht="21.75" hidden="false" customHeight="true" outlineLevel="0" collapsed="false">
      <c r="B29" s="21" t="s">
        <v>75</v>
      </c>
      <c r="C29" s="21"/>
      <c r="E29" s="22" t="s">
        <v>76</v>
      </c>
      <c r="F29" s="22" t="s">
        <v>77</v>
      </c>
      <c r="G29" s="22" t="s">
        <v>78</v>
      </c>
      <c r="H29" s="22" t="s">
        <v>79</v>
      </c>
    </row>
    <row r="30" customFormat="false" ht="25.5" hidden="false" customHeight="true" outlineLevel="0" collapsed="false">
      <c r="B30" s="23"/>
      <c r="C30" s="23"/>
      <c r="E30" s="24" t="str">
        <f aca="false">IFERROR(AVERAGEIF(E5:E24,"&gt;=1"),"-")</f>
        <v>-</v>
      </c>
      <c r="F30" s="24" t="str">
        <f aca="false">IFERROR(AVERAGEIF(F5:F24,"&gt;=1"),"-")</f>
        <v>-</v>
      </c>
      <c r="G30" s="24" t="str">
        <f aca="false">IFERROR(AVERAGEIF(G5:G24,"&gt;=1"),"-")</f>
        <v>-</v>
      </c>
      <c r="H30" s="24" t="str">
        <f aca="false">IFERROR(AVERAGEIF(H5:H24,"&gt;=1"),"-")</f>
        <v>-</v>
      </c>
    </row>
  </sheetData>
  <mergeCells count="8">
    <mergeCell ref="B1:I1"/>
    <mergeCell ref="B2:I2"/>
    <mergeCell ref="B3:I3"/>
    <mergeCell ref="B25:I25"/>
    <mergeCell ref="B27:C27"/>
    <mergeCell ref="E27:I27"/>
    <mergeCell ref="B29:C29"/>
    <mergeCell ref="B30:C30"/>
  </mergeCells>
  <dataValidations count="2">
    <dataValidation allowBlank="false" error="Enter 1–5" errorStyle="stop" errorTitle="Invalid Score" operator="between" showDropDown="false" showErrorMessage="true" showInputMessage="false" sqref="E5:H24 D27" type="whole">
      <formula1>1</formula1>
      <formula2>5</formula2>
    </dataValidation>
    <dataValidation allowBlank="false" error="Choose Yes, Partially, No, or Skip" errorStyle="stop" operator="between" showDropDown="false" showErrorMessage="true" showInputMessage="false" sqref="D5:D24" type="list">
      <formula1>"Yes,Partially,No,Skip"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48"/>
    <col collapsed="false" customWidth="true" hidden="false" outlineLevel="0" max="4" min="4" style="0" width="16"/>
    <col collapsed="false" customWidth="true" hidden="false" outlineLevel="0" max="8" min="5" style="0" width="14"/>
    <col collapsed="false" customWidth="true" hidden="false" outlineLevel="0" max="9" min="9" style="0" width="32"/>
    <col collapsed="false" customWidth="true" hidden="false" outlineLevel="0" max="10" min="10" style="0" width="2"/>
  </cols>
  <sheetData>
    <row r="1" customFormat="false" ht="33.75" hidden="false" customHeight="true" outlineLevel="0" collapsed="false">
      <c r="B1" s="25" t="s">
        <v>80</v>
      </c>
      <c r="C1" s="25"/>
      <c r="D1" s="25"/>
      <c r="E1" s="25"/>
      <c r="F1" s="25"/>
      <c r="G1" s="25"/>
      <c r="H1" s="25"/>
      <c r="I1" s="25"/>
    </row>
    <row r="2" customFormat="false" ht="21.75" hidden="false" customHeight="true" outlineLevel="0" collapsed="false">
      <c r="B2" s="26" t="s">
        <v>81</v>
      </c>
      <c r="C2" s="26"/>
      <c r="D2" s="26"/>
      <c r="E2" s="26"/>
      <c r="F2" s="26"/>
      <c r="G2" s="26"/>
      <c r="H2" s="26"/>
      <c r="I2" s="26"/>
    </row>
    <row r="3" customFormat="false" ht="30" hidden="false" customHeight="true" outlineLevel="0" collapsed="false">
      <c r="B3" s="27" t="s">
        <v>47</v>
      </c>
      <c r="C3" s="27"/>
      <c r="D3" s="27"/>
      <c r="E3" s="27"/>
      <c r="F3" s="27"/>
      <c r="G3" s="27"/>
      <c r="H3" s="27"/>
      <c r="I3" s="27"/>
    </row>
    <row r="4" customFormat="false" ht="51.75" hidden="false" customHeight="true" outlineLevel="0" collapsed="false">
      <c r="B4" s="9" t="s">
        <v>48</v>
      </c>
      <c r="C4" s="9" t="s">
        <v>49</v>
      </c>
      <c r="D4" s="28" t="s">
        <v>50</v>
      </c>
      <c r="E4" s="28" t="s">
        <v>51</v>
      </c>
      <c r="F4" s="28" t="s">
        <v>52</v>
      </c>
      <c r="G4" s="28" t="s">
        <v>53</v>
      </c>
      <c r="H4" s="28" t="s">
        <v>54</v>
      </c>
      <c r="I4" s="9" t="s">
        <v>55</v>
      </c>
    </row>
    <row r="5" customFormat="false" ht="51.75" hidden="false" customHeight="true" outlineLevel="0" collapsed="false">
      <c r="B5" s="11" t="n">
        <v>1</v>
      </c>
      <c r="C5" s="12" t="s">
        <v>56</v>
      </c>
      <c r="D5" s="29"/>
      <c r="E5" s="29"/>
      <c r="F5" s="29"/>
      <c r="G5" s="29"/>
      <c r="H5" s="29"/>
      <c r="I5" s="12"/>
    </row>
    <row r="6" customFormat="false" ht="51.75" hidden="false" customHeight="true" outlineLevel="0" collapsed="false">
      <c r="B6" s="14" t="n">
        <v>2</v>
      </c>
      <c r="C6" s="15" t="s">
        <v>57</v>
      </c>
      <c r="D6" s="29"/>
      <c r="E6" s="29"/>
      <c r="F6" s="29"/>
      <c r="G6" s="29"/>
      <c r="H6" s="29"/>
      <c r="I6" s="15"/>
    </row>
    <row r="7" customFormat="false" ht="51.75" hidden="false" customHeight="true" outlineLevel="0" collapsed="false">
      <c r="B7" s="11" t="n">
        <v>3</v>
      </c>
      <c r="C7" s="12" t="s">
        <v>58</v>
      </c>
      <c r="D7" s="29"/>
      <c r="E7" s="29"/>
      <c r="F7" s="29"/>
      <c r="G7" s="29"/>
      <c r="H7" s="29"/>
      <c r="I7" s="12"/>
    </row>
    <row r="8" customFormat="false" ht="51.75" hidden="false" customHeight="true" outlineLevel="0" collapsed="false">
      <c r="B8" s="14" t="n">
        <v>4</v>
      </c>
      <c r="C8" s="15" t="s">
        <v>59</v>
      </c>
      <c r="D8" s="29"/>
      <c r="E8" s="29"/>
      <c r="F8" s="29"/>
      <c r="G8" s="29"/>
      <c r="H8" s="29"/>
      <c r="I8" s="15"/>
    </row>
    <row r="9" customFormat="false" ht="51.75" hidden="false" customHeight="true" outlineLevel="0" collapsed="false">
      <c r="B9" s="11" t="n">
        <v>5</v>
      </c>
      <c r="C9" s="12" t="s">
        <v>60</v>
      </c>
      <c r="D9" s="29"/>
      <c r="E9" s="29"/>
      <c r="F9" s="29"/>
      <c r="G9" s="29"/>
      <c r="H9" s="29"/>
      <c r="I9" s="12"/>
    </row>
    <row r="10" customFormat="false" ht="51.75" hidden="false" customHeight="true" outlineLevel="0" collapsed="false">
      <c r="B10" s="14" t="n">
        <v>6</v>
      </c>
      <c r="C10" s="15" t="s">
        <v>61</v>
      </c>
      <c r="D10" s="29"/>
      <c r="E10" s="29"/>
      <c r="F10" s="29"/>
      <c r="G10" s="29"/>
      <c r="H10" s="29"/>
      <c r="I10" s="15"/>
    </row>
    <row r="11" customFormat="false" ht="51.75" hidden="false" customHeight="true" outlineLevel="0" collapsed="false">
      <c r="B11" s="11" t="n">
        <v>7</v>
      </c>
      <c r="C11" s="12" t="s">
        <v>62</v>
      </c>
      <c r="D11" s="29"/>
      <c r="E11" s="29"/>
      <c r="F11" s="29"/>
      <c r="G11" s="29"/>
      <c r="H11" s="29"/>
      <c r="I11" s="12"/>
    </row>
    <row r="12" customFormat="false" ht="51.75" hidden="false" customHeight="true" outlineLevel="0" collapsed="false">
      <c r="B12" s="14" t="n">
        <v>8</v>
      </c>
      <c r="C12" s="15" t="s">
        <v>63</v>
      </c>
      <c r="D12" s="29"/>
      <c r="E12" s="29"/>
      <c r="F12" s="29"/>
      <c r="G12" s="29"/>
      <c r="H12" s="29"/>
      <c r="I12" s="15"/>
    </row>
    <row r="13" customFormat="false" ht="51.75" hidden="false" customHeight="true" outlineLevel="0" collapsed="false">
      <c r="B13" s="11" t="n">
        <v>9</v>
      </c>
      <c r="C13" s="12" t="s">
        <v>64</v>
      </c>
      <c r="D13" s="29"/>
      <c r="E13" s="29"/>
      <c r="F13" s="29"/>
      <c r="G13" s="29"/>
      <c r="H13" s="29"/>
      <c r="I13" s="12"/>
    </row>
    <row r="14" customFormat="false" ht="51.75" hidden="false" customHeight="true" outlineLevel="0" collapsed="false">
      <c r="B14" s="14" t="n">
        <v>10</v>
      </c>
      <c r="C14" s="15" t="s">
        <v>65</v>
      </c>
      <c r="D14" s="29"/>
      <c r="E14" s="29"/>
      <c r="F14" s="29"/>
      <c r="G14" s="29"/>
      <c r="H14" s="29"/>
      <c r="I14" s="15"/>
    </row>
    <row r="15" customFormat="false" ht="51.75" hidden="false" customHeight="true" outlineLevel="0" collapsed="false">
      <c r="B15" s="11" t="n">
        <v>11</v>
      </c>
      <c r="C15" s="12" t="s">
        <v>66</v>
      </c>
      <c r="D15" s="29"/>
      <c r="E15" s="29"/>
      <c r="F15" s="29"/>
      <c r="G15" s="29"/>
      <c r="H15" s="29"/>
      <c r="I15" s="12"/>
    </row>
    <row r="16" customFormat="false" ht="51.75" hidden="false" customHeight="true" outlineLevel="0" collapsed="false">
      <c r="B16" s="14" t="n">
        <v>12</v>
      </c>
      <c r="C16" s="15" t="s">
        <v>67</v>
      </c>
      <c r="D16" s="29"/>
      <c r="E16" s="29"/>
      <c r="F16" s="29"/>
      <c r="G16" s="29"/>
      <c r="H16" s="29"/>
      <c r="I16" s="15"/>
    </row>
    <row r="17" customFormat="false" ht="51.75" hidden="false" customHeight="true" outlineLevel="0" collapsed="false">
      <c r="B17" s="11" t="n">
        <v>13</v>
      </c>
      <c r="C17" s="12" t="s">
        <v>68</v>
      </c>
      <c r="D17" s="29"/>
      <c r="E17" s="29"/>
      <c r="F17" s="29"/>
      <c r="G17" s="29"/>
      <c r="H17" s="29"/>
      <c r="I17" s="12"/>
    </row>
    <row r="18" customFormat="false" ht="51.75" hidden="false" customHeight="true" outlineLevel="0" collapsed="false">
      <c r="B18" s="14" t="n">
        <v>14</v>
      </c>
      <c r="C18" s="15" t="s">
        <v>69</v>
      </c>
      <c r="D18" s="29"/>
      <c r="E18" s="29"/>
      <c r="F18" s="29"/>
      <c r="G18" s="29"/>
      <c r="H18" s="29"/>
      <c r="I18" s="15"/>
    </row>
    <row r="19" customFormat="false" ht="51.75" hidden="false" customHeight="true" outlineLevel="0" collapsed="false">
      <c r="B19" s="11" t="n">
        <v>15</v>
      </c>
      <c r="C19" s="12" t="s">
        <v>70</v>
      </c>
      <c r="D19" s="29"/>
      <c r="E19" s="29"/>
      <c r="F19" s="29"/>
      <c r="G19" s="29"/>
      <c r="H19" s="29"/>
      <c r="I19" s="12"/>
    </row>
    <row r="20" customFormat="false" ht="51.75" hidden="false" customHeight="true" outlineLevel="0" collapsed="false">
      <c r="B20" s="14" t="n">
        <v>16</v>
      </c>
      <c r="C20" s="16" t="s">
        <v>71</v>
      </c>
      <c r="D20" s="29"/>
      <c r="E20" s="29"/>
      <c r="F20" s="29"/>
      <c r="G20" s="29"/>
      <c r="H20" s="29"/>
      <c r="I20" s="15"/>
    </row>
    <row r="21" customFormat="false" ht="51.75" hidden="false" customHeight="true" outlineLevel="0" collapsed="false">
      <c r="B21" s="11" t="n">
        <v>17</v>
      </c>
      <c r="C21" s="16" t="s">
        <v>71</v>
      </c>
      <c r="D21" s="29"/>
      <c r="E21" s="29"/>
      <c r="F21" s="29"/>
      <c r="G21" s="29"/>
      <c r="H21" s="29"/>
      <c r="I21" s="12"/>
    </row>
    <row r="22" customFormat="false" ht="51.75" hidden="false" customHeight="true" outlineLevel="0" collapsed="false">
      <c r="B22" s="14" t="n">
        <v>18</v>
      </c>
      <c r="C22" s="16" t="s">
        <v>71</v>
      </c>
      <c r="D22" s="29"/>
      <c r="E22" s="29"/>
      <c r="F22" s="29"/>
      <c r="G22" s="29"/>
      <c r="H22" s="29"/>
      <c r="I22" s="15"/>
    </row>
    <row r="23" customFormat="false" ht="51.75" hidden="false" customHeight="true" outlineLevel="0" collapsed="false">
      <c r="B23" s="11" t="n">
        <v>19</v>
      </c>
      <c r="C23" s="16" t="s">
        <v>71</v>
      </c>
      <c r="D23" s="29"/>
      <c r="E23" s="29"/>
      <c r="F23" s="29"/>
      <c r="G23" s="29"/>
      <c r="H23" s="29"/>
      <c r="I23" s="12"/>
    </row>
    <row r="24" customFormat="false" ht="51.75" hidden="false" customHeight="true" outlineLevel="0" collapsed="false">
      <c r="B24" s="14" t="n">
        <v>20</v>
      </c>
      <c r="C24" s="16" t="s">
        <v>71</v>
      </c>
      <c r="D24" s="29"/>
      <c r="E24" s="29"/>
      <c r="F24" s="29"/>
      <c r="G24" s="29"/>
      <c r="H24" s="29"/>
      <c r="I24" s="15"/>
    </row>
    <row r="25" customFormat="false" ht="30" hidden="false" customHeight="true" outlineLevel="0" collapsed="false">
      <c r="B25" s="17" t="s">
        <v>72</v>
      </c>
      <c r="C25" s="17"/>
      <c r="D25" s="17"/>
      <c r="E25" s="17"/>
      <c r="F25" s="17"/>
      <c r="G25" s="17"/>
      <c r="H25" s="17"/>
      <c r="I25" s="17"/>
    </row>
    <row r="27" customFormat="false" ht="27.75" hidden="false" customHeight="true" outlineLevel="0" collapsed="false">
      <c r="B27" s="18" t="s">
        <v>82</v>
      </c>
      <c r="C27" s="18"/>
      <c r="D27" s="19"/>
      <c r="E27" s="20" t="s">
        <v>74</v>
      </c>
      <c r="F27" s="20"/>
      <c r="G27" s="20"/>
      <c r="H27" s="20"/>
      <c r="I27" s="20"/>
    </row>
    <row r="29" customFormat="false" ht="21.75" hidden="false" customHeight="true" outlineLevel="0" collapsed="false">
      <c r="B29" s="21" t="s">
        <v>75</v>
      </c>
      <c r="C29" s="21"/>
      <c r="E29" s="22" t="s">
        <v>76</v>
      </c>
      <c r="F29" s="22" t="s">
        <v>77</v>
      </c>
      <c r="G29" s="22" t="s">
        <v>78</v>
      </c>
      <c r="H29" s="22" t="s">
        <v>79</v>
      </c>
    </row>
    <row r="30" customFormat="false" ht="25.5" hidden="false" customHeight="true" outlineLevel="0" collapsed="false">
      <c r="B30" s="23"/>
      <c r="C30" s="23"/>
      <c r="E30" s="24" t="str">
        <f aca="false">IFERROR(AVERAGEIF(E5:E24,"&gt;=1"),"-")</f>
        <v>-</v>
      </c>
      <c r="F30" s="24" t="str">
        <f aca="false">IFERROR(AVERAGEIF(F5:F24,"&gt;=1"),"-")</f>
        <v>-</v>
      </c>
      <c r="G30" s="24" t="str">
        <f aca="false">IFERROR(AVERAGEIF(G5:G24,"&gt;=1"),"-")</f>
        <v>-</v>
      </c>
      <c r="H30" s="24" t="str">
        <f aca="false">IFERROR(AVERAGEIF(H5:H24,"&gt;=1"),"-")</f>
        <v>-</v>
      </c>
    </row>
  </sheetData>
  <mergeCells count="8">
    <mergeCell ref="B1:I1"/>
    <mergeCell ref="B2:I2"/>
    <mergeCell ref="B3:I3"/>
    <mergeCell ref="B25:I25"/>
    <mergeCell ref="B27:C27"/>
    <mergeCell ref="E27:I27"/>
    <mergeCell ref="B29:C29"/>
    <mergeCell ref="B30:C30"/>
  </mergeCells>
  <dataValidations count="2">
    <dataValidation allowBlank="false" error="Enter 1–5" errorStyle="stop" errorTitle="Invalid Score" operator="between" showDropDown="false" showErrorMessage="true" showInputMessage="false" sqref="E5:H24 D27" type="whole">
      <formula1>1</formula1>
      <formula2>5</formula2>
    </dataValidation>
    <dataValidation allowBlank="false" error="Choose Yes, Partially, No, or Skip" errorStyle="stop" operator="between" showDropDown="false" showErrorMessage="true" showInputMessage="false" sqref="D5:D24" type="list">
      <formula1>"Yes,Partially,No,Skip"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4" min="3" style="0" width="18"/>
    <col collapsed="false" customWidth="true" hidden="false" outlineLevel="0" max="6" min="5" style="0" width="20"/>
    <col collapsed="false" customWidth="true" hidden="false" outlineLevel="0" max="7" min="7" style="0" width="22"/>
    <col collapsed="false" customWidth="true" hidden="false" outlineLevel="0" max="8" min="8" style="0" width="2"/>
  </cols>
  <sheetData>
    <row r="1" customFormat="false" ht="33.75" hidden="false" customHeight="true" outlineLevel="0" collapsed="false">
      <c r="B1" s="30" t="s">
        <v>83</v>
      </c>
      <c r="C1" s="30"/>
      <c r="D1" s="30"/>
      <c r="E1" s="30"/>
      <c r="F1" s="30"/>
      <c r="G1" s="30"/>
    </row>
    <row r="2" customFormat="false" ht="30" hidden="false" customHeight="true" outlineLevel="0" collapsed="false">
      <c r="B2" s="8" t="s">
        <v>84</v>
      </c>
      <c r="C2" s="8"/>
      <c r="D2" s="8"/>
      <c r="E2" s="8"/>
      <c r="F2" s="8"/>
      <c r="G2" s="8"/>
    </row>
    <row r="4" customFormat="false" ht="25.5" hidden="false" customHeight="true" outlineLevel="0" collapsed="false">
      <c r="B4" s="31" t="s">
        <v>85</v>
      </c>
      <c r="C4" s="31"/>
      <c r="D4" s="31"/>
      <c r="E4" s="31"/>
      <c r="F4" s="31"/>
      <c r="G4" s="31"/>
    </row>
    <row r="5" customFormat="false" ht="43.5" hidden="false" customHeight="true" outlineLevel="0" collapsed="false">
      <c r="B5" s="9" t="s">
        <v>86</v>
      </c>
      <c r="C5" s="9" t="s">
        <v>87</v>
      </c>
      <c r="D5" s="9" t="s">
        <v>88</v>
      </c>
      <c r="E5" s="9" t="s">
        <v>89</v>
      </c>
      <c r="F5" s="9" t="s">
        <v>90</v>
      </c>
      <c r="G5" s="9" t="s">
        <v>91</v>
      </c>
    </row>
    <row r="6" customFormat="false" ht="39.75" hidden="false" customHeight="true" outlineLevel="0" collapsed="false">
      <c r="B6" s="32" t="s">
        <v>15</v>
      </c>
      <c r="C6" s="33" t="s">
        <v>92</v>
      </c>
      <c r="D6" s="24" t="str">
        <f aca="false">'Session A — Bot A'!E29</f>
        <v>Avg Task Completion</v>
      </c>
      <c r="E6" s="34" t="str">
        <f aca="false">'Session B — Bot B'!E29</f>
        <v>Avg Task Completion</v>
      </c>
      <c r="F6" s="35" t="s">
        <v>93</v>
      </c>
      <c r="G6" s="36" t="str">
        <f aca="false">IFERROR(IF(AND(D6&gt;=0.85*5,E6&gt;=0.85*5),"✓ Both pass",IF(D6&lt;0.85*5,"⚠ Bot A below threshold","⚠ Bot B below threshold")),"-")</f>
        <v>✓ Both pass</v>
      </c>
    </row>
    <row r="7" customFormat="false" ht="39.75" hidden="false" customHeight="true" outlineLevel="0" collapsed="false">
      <c r="B7" s="37" t="s">
        <v>17</v>
      </c>
      <c r="C7" s="38" t="s">
        <v>94</v>
      </c>
      <c r="D7" s="24" t="str">
        <f aca="false">'Session A — Bot A'!F29</f>
        <v>Avg Relevance</v>
      </c>
      <c r="E7" s="34" t="str">
        <f aca="false">'Session B — Bot B'!F29</f>
        <v>Avg Relevance</v>
      </c>
      <c r="F7" s="39" t="s">
        <v>95</v>
      </c>
      <c r="G7" s="40" t="str">
        <f aca="false">IFERROR(IF(AND(D7&gt;=0.8*5,E7&gt;=0.8*5),"✓ Both pass",IF(D7&lt;0.8*5,"⚠ Bot A below threshold","⚠ Bot B below threshold")),"-")</f>
        <v>✓ Both pass</v>
      </c>
    </row>
    <row r="8" customFormat="false" ht="39.75" hidden="false" customHeight="true" outlineLevel="0" collapsed="false">
      <c r="B8" s="32" t="s">
        <v>19</v>
      </c>
      <c r="C8" s="33" t="s">
        <v>94</v>
      </c>
      <c r="D8" s="24" t="str">
        <f aca="false">'Session A — Bot A'!G29</f>
        <v>Avg Clarity</v>
      </c>
      <c r="E8" s="34" t="str">
        <f aca="false">'Session B — Bot B'!G29</f>
        <v>Avg Clarity</v>
      </c>
      <c r="F8" s="35" t="s">
        <v>95</v>
      </c>
      <c r="G8" s="36" t="str">
        <f aca="false">IFERROR(IF(AND(D8&gt;=0.8*5,E8&gt;=0.8*5),"✓ Both pass",IF(D8&lt;0.8*5,"⚠ Bot A below threshold","⚠ Bot B below threshold")),"-")</f>
        <v>✓ Both pass</v>
      </c>
    </row>
    <row r="9" customFormat="false" ht="39.75" hidden="false" customHeight="true" outlineLevel="0" collapsed="false">
      <c r="B9" s="37" t="s">
        <v>21</v>
      </c>
      <c r="C9" s="38" t="s">
        <v>96</v>
      </c>
      <c r="D9" s="24" t="str">
        <f aca="false">'Session A — Bot A'!H29</f>
        <v>Avg Tone</v>
      </c>
      <c r="E9" s="34" t="str">
        <f aca="false">'Session B — Bot B'!H29</f>
        <v>Avg Tone</v>
      </c>
      <c r="F9" s="39" t="s">
        <v>95</v>
      </c>
      <c r="G9" s="40" t="str">
        <f aca="false">IFERROR(IF(AND(D9&gt;=0.8*5,E9&gt;=0.8*5),"✓ Both pass",IF(D9&lt;0.8*5,"⚠ Bot A below threshold","⚠ Bot B below threshold")),"-")</f>
        <v>✓ Both pass</v>
      </c>
    </row>
    <row r="12" customFormat="false" ht="25.5" hidden="false" customHeight="true" outlineLevel="0" collapsed="false">
      <c r="B12" s="31" t="s">
        <v>97</v>
      </c>
      <c r="C12" s="31"/>
      <c r="D12" s="31"/>
      <c r="E12" s="31"/>
      <c r="F12" s="31"/>
      <c r="G12" s="31"/>
    </row>
    <row r="13" customFormat="false" ht="36" hidden="false" customHeight="true" outlineLevel="0" collapsed="false">
      <c r="B13" s="9" t="s">
        <v>86</v>
      </c>
      <c r="C13" s="9" t="s">
        <v>87</v>
      </c>
      <c r="D13" s="9" t="s">
        <v>98</v>
      </c>
      <c r="E13" s="9" t="s">
        <v>99</v>
      </c>
      <c r="F13" s="9" t="s">
        <v>100</v>
      </c>
      <c r="G13" s="9" t="s">
        <v>101</v>
      </c>
    </row>
    <row r="14" customFormat="false" ht="30" hidden="false" customHeight="true" outlineLevel="0" collapsed="false">
      <c r="B14" s="32" t="s">
        <v>15</v>
      </c>
      <c r="C14" s="33" t="s">
        <v>92</v>
      </c>
      <c r="D14" s="41" t="str">
        <f aca="false">D6</f>
        <v>Avg Task Completion</v>
      </c>
      <c r="E14" s="42" t="str">
        <f aca="false">IFERROR(D14*0.44,"-")</f>
        <v>-</v>
      </c>
      <c r="F14" s="43" t="str">
        <f aca="false">E6</f>
        <v>Avg Task Completion</v>
      </c>
      <c r="G14" s="42" t="str">
        <f aca="false">IFERROR(F14*0.44,"-")</f>
        <v>-</v>
      </c>
    </row>
    <row r="15" customFormat="false" ht="30" hidden="false" customHeight="true" outlineLevel="0" collapsed="false">
      <c r="B15" s="37" t="s">
        <v>17</v>
      </c>
      <c r="C15" s="38" t="s">
        <v>94</v>
      </c>
      <c r="D15" s="41" t="str">
        <f aca="false">D7</f>
        <v>Avg Relevance</v>
      </c>
      <c r="E15" s="44" t="str">
        <f aca="false">IFERROR(D15*0.22,"-")</f>
        <v>-</v>
      </c>
      <c r="F15" s="43" t="str">
        <f aca="false">E7</f>
        <v>Avg Relevance</v>
      </c>
      <c r="G15" s="44" t="str">
        <f aca="false">IFERROR(F15*0.22,"-")</f>
        <v>-</v>
      </c>
    </row>
    <row r="16" customFormat="false" ht="30" hidden="false" customHeight="true" outlineLevel="0" collapsed="false">
      <c r="B16" s="32" t="s">
        <v>19</v>
      </c>
      <c r="C16" s="33" t="s">
        <v>94</v>
      </c>
      <c r="D16" s="41" t="str">
        <f aca="false">D8</f>
        <v>Avg Clarity</v>
      </c>
      <c r="E16" s="42" t="str">
        <f aca="false">IFERROR(D16*0.22,"-")</f>
        <v>-</v>
      </c>
      <c r="F16" s="43" t="str">
        <f aca="false">E8</f>
        <v>Avg Clarity</v>
      </c>
      <c r="G16" s="42" t="str">
        <f aca="false">IFERROR(F16*0.22,"-")</f>
        <v>-</v>
      </c>
    </row>
    <row r="17" customFormat="false" ht="30" hidden="false" customHeight="true" outlineLevel="0" collapsed="false">
      <c r="B17" s="37" t="s">
        <v>21</v>
      </c>
      <c r="C17" s="38" t="s">
        <v>96</v>
      </c>
      <c r="D17" s="41" t="str">
        <f aca="false">D9</f>
        <v>Avg Tone</v>
      </c>
      <c r="E17" s="44" t="str">
        <f aca="false">IFERROR(D17*0.12,"-")</f>
        <v>-</v>
      </c>
      <c r="F17" s="43" t="str">
        <f aca="false">E9</f>
        <v>Avg Tone</v>
      </c>
      <c r="G17" s="44" t="str">
        <f aca="false">IFERROR(F17*0.12,"-")</f>
        <v>-</v>
      </c>
    </row>
    <row r="18" customFormat="false" ht="31.5" hidden="false" customHeight="true" outlineLevel="0" collapsed="false">
      <c r="B18" s="45" t="s">
        <v>102</v>
      </c>
      <c r="C18" s="45" t="s">
        <v>103</v>
      </c>
      <c r="D18" s="46" t="n">
        <f aca="false">IFERROR(SUM(D14:D17),"-")</f>
        <v>0</v>
      </c>
      <c r="E18" s="46" t="n">
        <f aca="false">IFERROR(SUM(E14:E17),"-")</f>
        <v>0</v>
      </c>
      <c r="F18" s="46" t="n">
        <f aca="false">IFERROR(SUM(F14:F17),"-")</f>
        <v>0</v>
      </c>
      <c r="G18" s="46" t="n">
        <f aca="false">IFERROR(SUM(G14:G17),"-")</f>
        <v>0</v>
      </c>
    </row>
    <row r="19" customFormat="false" ht="27.75" hidden="false" customHeight="true" outlineLevel="0" collapsed="false">
      <c r="B19" s="47" t="s">
        <v>104</v>
      </c>
      <c r="C19" s="47"/>
      <c r="D19" s="47"/>
      <c r="E19" s="48" t="n">
        <f aca="false">IFERROR((E18-G18)/5*100,"-")</f>
        <v>0</v>
      </c>
      <c r="F19" s="49" t="str">
        <f aca="false">IFERROR(IF(ABS((E18-G18)/5*100)&lt;=5,"⚠ Too close to call — review individually",IF(E18&gt;G18,"Bot A wins Layer 3","Bot B wins Layer 3")),"-")</f>
        <v>⚠ Too close to call — review individually</v>
      </c>
      <c r="G19" s="49"/>
    </row>
    <row r="21" customFormat="false" ht="25.5" hidden="false" customHeight="true" outlineLevel="0" collapsed="false">
      <c r="B21" s="50" t="s">
        <v>105</v>
      </c>
      <c r="C21" s="50"/>
      <c r="D21" s="50"/>
      <c r="E21" s="50"/>
      <c r="F21" s="50"/>
      <c r="G21" s="50"/>
    </row>
    <row r="22" customFormat="false" ht="30" hidden="false" customHeight="true" outlineLevel="0" collapsed="false">
      <c r="B22" s="17" t="s">
        <v>106</v>
      </c>
      <c r="C22" s="17"/>
      <c r="D22" s="17"/>
      <c r="E22" s="17"/>
      <c r="F22" s="17"/>
      <c r="G22" s="17"/>
    </row>
    <row r="23" customFormat="false" ht="30" hidden="false" customHeight="true" outlineLevel="0" collapsed="false">
      <c r="B23" s="51" t="s">
        <v>107</v>
      </c>
      <c r="C23" s="51"/>
      <c r="D23" s="51"/>
      <c r="E23" s="52"/>
      <c r="F23" s="52"/>
      <c r="G23" s="52"/>
    </row>
    <row r="24" customFormat="false" ht="30" hidden="false" customHeight="true" outlineLevel="0" collapsed="false">
      <c r="B24" s="53" t="s">
        <v>108</v>
      </c>
      <c r="C24" s="53"/>
      <c r="D24" s="53"/>
      <c r="E24" s="52"/>
      <c r="F24" s="52"/>
      <c r="G24" s="52"/>
    </row>
    <row r="25" customFormat="false" ht="30" hidden="false" customHeight="true" outlineLevel="0" collapsed="false">
      <c r="B25" s="51" t="s">
        <v>109</v>
      </c>
      <c r="C25" s="51"/>
      <c r="D25" s="51"/>
      <c r="E25" s="52"/>
      <c r="F25" s="52"/>
      <c r="G25" s="52"/>
    </row>
    <row r="26" customFormat="false" ht="30" hidden="false" customHeight="true" outlineLevel="0" collapsed="false">
      <c r="B26" s="53" t="s">
        <v>110</v>
      </c>
      <c r="C26" s="53"/>
      <c r="D26" s="53"/>
      <c r="E26" s="52"/>
      <c r="F26" s="52"/>
      <c r="G26" s="52"/>
    </row>
    <row r="27" customFormat="false" ht="21.75" hidden="false" customHeight="true" outlineLevel="0" collapsed="false">
      <c r="B27" s="54" t="s">
        <v>111</v>
      </c>
      <c r="C27" s="54"/>
      <c r="D27" s="54"/>
      <c r="E27" s="54"/>
      <c r="F27" s="54"/>
      <c r="G27" s="54"/>
    </row>
    <row r="28" customFormat="false" ht="24" hidden="false" customHeight="true" outlineLevel="0" collapsed="false">
      <c r="B28" s="55"/>
      <c r="C28" s="55"/>
      <c r="D28" s="55"/>
      <c r="E28" s="55"/>
      <c r="F28" s="55"/>
      <c r="G28" s="55"/>
    </row>
    <row r="29" customFormat="false" ht="24" hidden="false" customHeight="true" outlineLevel="0" collapsed="false">
      <c r="B29" s="55"/>
      <c r="C29" s="55"/>
      <c r="D29" s="55"/>
      <c r="E29" s="55"/>
      <c r="F29" s="55"/>
      <c r="G29" s="55"/>
    </row>
    <row r="30" customFormat="false" ht="24" hidden="false" customHeight="true" outlineLevel="0" collapsed="false">
      <c r="B30" s="55"/>
      <c r="C30" s="55"/>
      <c r="D30" s="55"/>
      <c r="E30" s="55"/>
      <c r="F30" s="55"/>
      <c r="G30" s="55"/>
    </row>
    <row r="31" customFormat="false" ht="24" hidden="false" customHeight="true" outlineLevel="0" collapsed="false">
      <c r="B31" s="55"/>
      <c r="C31" s="55"/>
      <c r="D31" s="55"/>
      <c r="E31" s="55"/>
      <c r="F31" s="55"/>
      <c r="G31" s="55"/>
    </row>
    <row r="32" customFormat="false" ht="24" hidden="false" customHeight="true" outlineLevel="0" collapsed="false">
      <c r="B32" s="55"/>
      <c r="C32" s="55"/>
      <c r="D32" s="55"/>
      <c r="E32" s="55"/>
      <c r="F32" s="55"/>
      <c r="G32" s="55"/>
    </row>
    <row r="33" customFormat="false" ht="24" hidden="false" customHeight="true" outlineLevel="0" collapsed="false">
      <c r="B33" s="55"/>
      <c r="C33" s="55"/>
      <c r="D33" s="55"/>
      <c r="E33" s="55"/>
      <c r="F33" s="55"/>
      <c r="G33" s="55"/>
    </row>
    <row r="34" customFormat="false" ht="30" hidden="false" customHeight="true" outlineLevel="0" collapsed="false">
      <c r="B34" s="8" t="s">
        <v>112</v>
      </c>
      <c r="C34" s="8"/>
      <c r="D34" s="8"/>
      <c r="E34" s="8"/>
      <c r="F34" s="8"/>
      <c r="G34" s="8"/>
    </row>
  </sheetData>
  <mergeCells count="24">
    <mergeCell ref="B1:G1"/>
    <mergeCell ref="B2:G2"/>
    <mergeCell ref="B4:G4"/>
    <mergeCell ref="B12:G12"/>
    <mergeCell ref="B19:D19"/>
    <mergeCell ref="F19:G19"/>
    <mergeCell ref="B21:G21"/>
    <mergeCell ref="B22:G22"/>
    <mergeCell ref="B23:D23"/>
    <mergeCell ref="E23:G23"/>
    <mergeCell ref="B24:D24"/>
    <mergeCell ref="E24:G24"/>
    <mergeCell ref="B25:D25"/>
    <mergeCell ref="E25:G25"/>
    <mergeCell ref="B26:D26"/>
    <mergeCell ref="E26:G26"/>
    <mergeCell ref="B27:G27"/>
    <mergeCell ref="B28:G28"/>
    <mergeCell ref="B29:G29"/>
    <mergeCell ref="B30:G30"/>
    <mergeCell ref="B31:G31"/>
    <mergeCell ref="B32:G32"/>
    <mergeCell ref="B33:G33"/>
    <mergeCell ref="B34:G34"/>
  </mergeCells>
  <dataValidations count="1">
    <dataValidation allowBlank="false" errorStyle="stop" operator="between" showDropDown="false" showErrorMessage="true" showInputMessage="false" sqref="E23:E26" type="list">
      <formula1>"Bot A,Bot B,No clear preference"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2026-05-21T20:19:22Z</dcterms:created>
  <dc:creator>openpyxl</dc:creator>
  <dc:description/>
  <dc:language>en-US</dc:language>
  <cp:lastModifiedBy/>
  <dcterms:modified xsi:type="dcterms:W3CDTF">2026-05-21T20:19:22Z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